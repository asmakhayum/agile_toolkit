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Dashboard" sheetId="2" state="visible" r:id="rId4"/>
    <sheet name="Sprint_Metrics" sheetId="3" state="visible" r:id="rId5"/>
    <sheet name="Forecast" sheetId="4" state="visible" r:id="rId6"/>
    <sheet name="Simulation" sheetId="5" state="visible" r:id="rId7"/>
    <sheet name="Jira_Dat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<sst xmlns="http://schemas.openxmlformats.org/spreadsheetml/2006/main" count="719" uniqueCount="304">
  <si>
    <t xml:space="preserve">Sprint Health &amp; Flow Dashboard: Guide</t>
  </si>
  <si>
    <t xml:space="preserve">Built with Jira data and Excel. All numbers in the demo are synthetic (no real company data).</t>
  </si>
  <si>
    <t xml:space="preserve">TABS</t>
  </si>
  <si>
    <t xml:space="preserve">Dashboard</t>
  </si>
  <si>
    <t xml:space="preserve">Headline KPIs, auto-written insights and four charts.</t>
  </si>
  <si>
    <t xml:space="preserve">Sprint_Metrics</t>
  </si>
  <si>
    <t xml:space="preserve">Per-sprint committed vs completed, throughput, velocity, cycle time. Calculated from Jira_Data.</t>
  </si>
  <si>
    <t xml:space="preserve">Forecast</t>
  </si>
  <si>
    <t xml:space="preserve">Monte Carlo forecast: how many sprints until the remaining backlog is done, at your chosen confidence.</t>
  </si>
  <si>
    <t xml:space="preserve">Simulation</t>
  </si>
  <si>
    <t xml:space="preserve">500 trials behind the forecast (random, recalculates with F9). No need to edit.</t>
  </si>
  <si>
    <t xml:space="preserve">Jira_Data</t>
  </si>
  <si>
    <t xml:space="preserve">Sample Jira export. Paste your own data here (columns A to I).</t>
  </si>
  <si>
    <t xml:space="preserve">HOW TO USE WITH YOUR OWN DATA</t>
  </si>
  <si>
    <t xml:space="preserve">1. Export from Jira</t>
  </si>
  <si>
    <t xml:space="preserve">Filter issues &gt; Export &gt; CSV. Keep: Issue key, Summary, Issue Type, Status, Story point estimate, Sprint, Created, Resolved.</t>
  </si>
  <si>
    <t xml:space="preserve">2. Get 'Started' dates</t>
  </si>
  <si>
    <t xml:space="preserve">Jira CSVs do not include when work began. Use a Jira automation rule or the issue history to capture the date an issue first moved to In Progress.</t>
  </si>
  <si>
    <t xml:space="preserve">3. Paste into Jira_Data</t>
  </si>
  <si>
    <t xml:space="preserve">Match the column order in row 1 and use real dates. Columns J and K are formulas, already filled to row 500.</t>
  </si>
  <si>
    <t xml:space="preserve">4. Set the sprint inputs</t>
  </si>
  <si>
    <t xml:space="preserve">On Sprint_Metrics, set the first sprint start date and sprint length. Rename sprints in column A to match your Jira sprint names.</t>
  </si>
  <si>
    <t xml:space="preserve">5. Press F9</t>
  </si>
  <si>
    <t xml:space="preserve">Refreshes the Monte Carlo forecast. Change the confidence level or override remaining items on the Forecast tab.</t>
  </si>
  <si>
    <t xml:space="preserve">LEGEND</t>
  </si>
  <si>
    <t xml:space="preserve">Blue text on yellow</t>
  </si>
  <si>
    <t xml:space="preserve">Input cells you can change.</t>
  </si>
  <si>
    <t xml:space="preserve">Black text</t>
  </si>
  <si>
    <t xml:space="preserve">Formulas. Do not overwrite.</t>
  </si>
  <si>
    <t xml:space="preserve">ASSUMPTIONS</t>
  </si>
  <si>
    <t xml:space="preserve">Cycle time</t>
  </si>
  <si>
    <t xml:space="preserve">Calendar days from Started to Resolved. Lead time is Created to Resolved.</t>
  </si>
  <si>
    <t xml:space="preserve">Throughput / velocity</t>
  </si>
  <si>
    <t xml:space="preserve">Counted in the sprint whose dates contain the Resolved date, so spillover work is credited where it finished.</t>
  </si>
  <si>
    <t xml:space="preserve">Forecast method</t>
  </si>
  <si>
    <t xml:space="preserve">Each trial draws 8 sprints of throughput at random from history. It assumes future pace resembles the past and that backlog items are similarly sized.</t>
  </si>
  <si>
    <t xml:space="preserve">Sprint dates</t>
  </si>
  <si>
    <t xml:space="preserve">Sprints are assumed to run back to back with the same length.</t>
  </si>
  <si>
    <t xml:space="preserve">Sprint Health &amp; Flow Dashboard</t>
  </si>
  <si>
    <t xml:space="preserve">Demo with synthetic Jira data (10 sprints). Replace the Jira_Data tab with your own export to refresh everything.</t>
  </si>
  <si>
    <t xml:space="preserve">Avg velocity (pts / sprint)</t>
  </si>
  <si>
    <t xml:space="preserve">Avg throughput (items / sprint)</t>
  </si>
  <si>
    <t xml:space="preserve">Median cycle time (days)</t>
  </si>
  <si>
    <t xml:space="preserve">85th pct cycle time (days)</t>
  </si>
  <si>
    <t xml:space="preserve">Points done ÷ committed</t>
  </si>
  <si>
    <t xml:space="preserve">Velocity variability (CV)</t>
  </si>
  <si>
    <t xml:space="preserve">Bug share of all issues</t>
  </si>
  <si>
    <t xml:space="preserve">Open work items</t>
  </si>
  <si>
    <t xml:space="preserve">What the data says</t>
  </si>
  <si>
    <t xml:space="preserve">Sprint Metrics</t>
  </si>
  <si>
    <t xml:space="preserve">One row per closed sprint. Everything is calculated from Jira_Data. Edit only the yellow cells.</t>
  </si>
  <si>
    <t xml:space="preserve">Sprint length (days)</t>
  </si>
  <si>
    <t xml:space="preserve">First sprint start date</t>
  </si>
  <si>
    <t xml:space="preserve">Sprint</t>
  </si>
  <si>
    <t xml:space="preserve">Start</t>
  </si>
  <si>
    <t xml:space="preserve">End</t>
  </si>
  <si>
    <t xml:space="preserve">Committed items</t>
  </si>
  <si>
    <t xml:space="preserve">Committed points</t>
  </si>
  <si>
    <t xml:space="preserve">Throughput (items done)</t>
  </si>
  <si>
    <t xml:space="preserve">Velocity (points done)</t>
  </si>
  <si>
    <t xml:space="preserve">Avg cycle time (days)</t>
  </si>
  <si>
    <t xml:space="preserve">Bugs resolved</t>
  </si>
  <si>
    <t xml:space="preserve">Sprint 1</t>
  </si>
  <si>
    <t xml:space="preserve">Sprint 2</t>
  </si>
  <si>
    <t xml:space="preserve">Sprint 3</t>
  </si>
  <si>
    <t xml:space="preserve">Sprint 4</t>
  </si>
  <si>
    <t xml:space="preserve">Sprint 5</t>
  </si>
  <si>
    <t xml:space="preserve">Sprint 6</t>
  </si>
  <si>
    <t xml:space="preserve">Sprint 7</t>
  </si>
  <si>
    <t xml:space="preserve">Sprint 8</t>
  </si>
  <si>
    <t xml:space="preserve">Sprint 9</t>
  </si>
  <si>
    <t xml:space="preserve">Sprint 10</t>
  </si>
  <si>
    <t xml:space="preserve">Average</t>
  </si>
  <si>
    <t xml:space="preserve">Notes: 'Throughput' and 'Velocity' count items/points whose Resolved date falls inside the sprint dates, so work that spills over is credited to the sprint where it actually finished. 'Committed' counts items tagged with that sprint in Jira_Data column F.</t>
  </si>
  <si>
    <t xml:space="preserve">Monte Carlo Delivery Forecast</t>
  </si>
  <si>
    <t xml:space="preserve">Each of 500 trials randomly re-plays past sprint throughput to estimate how many items get done. Press F9 to re-run the simulation.</t>
  </si>
  <si>
    <t xml:space="preserve">Items remaining (auto from Jira_Data)</t>
  </si>
  <si>
    <t xml:space="preserve">Override remaining items (optional)</t>
  </si>
  <si>
    <t xml:space="preserve">Items used in forecast</t>
  </si>
  <si>
    <t xml:space="preserve">Confidence level</t>
  </si>
  <si>
    <t xml:space="preserve">Next sprint start</t>
  </si>
  <si>
    <t xml:space="preserve">Number of trials</t>
  </si>
  <si>
    <t xml:space="preserve">Sprints from now</t>
  </si>
  <si>
    <t xml:space="preserve">Probability backlog is done</t>
  </si>
  <si>
    <t xml:space="preserve">Meets confidence level?</t>
  </si>
  <si>
    <t xml:space="preserve">End of that sprint</t>
  </si>
  <si>
    <t xml:space="preserve">Sprints needed at chosen confidence</t>
  </si>
  <si>
    <t xml:space="preserve">Forecast completion date</t>
  </si>
  <si>
    <t xml:space="preserve">How to read: if the table says 85% for sprint 3, then in 85 of 100 simulated futures the remaining items were finished within 3 sprints, assuming the team's pace stays like its history.</t>
  </si>
  <si>
    <t xml:space="preserve">Trial</t>
  </si>
  <si>
    <t xml:space="preserve">Draw S1</t>
  </si>
  <si>
    <t xml:space="preserve">Draw S2</t>
  </si>
  <si>
    <t xml:space="preserve">Draw S3</t>
  </si>
  <si>
    <t xml:space="preserve">Draw S4</t>
  </si>
  <si>
    <t xml:space="preserve">Draw S5</t>
  </si>
  <si>
    <t xml:space="preserve">Draw S6</t>
  </si>
  <si>
    <t xml:space="preserve">Draw S7</t>
  </si>
  <si>
    <t xml:space="preserve">Draw S8</t>
  </si>
  <si>
    <t xml:space="preserve">Cum 1 sprint(s)</t>
  </si>
  <si>
    <t xml:space="preserve">Cum 2 sprint(s)</t>
  </si>
  <si>
    <t xml:space="preserve">Cum 3 sprint(s)</t>
  </si>
  <si>
    <t xml:space="preserve">Cum 4 sprint(s)</t>
  </si>
  <si>
    <t xml:space="preserve">Cum 5 sprint(s)</t>
  </si>
  <si>
    <t xml:space="preserve">Cum 6 sprint(s)</t>
  </si>
  <si>
    <t xml:space="preserve">Cum 7 sprint(s)</t>
  </si>
  <si>
    <t xml:space="preserve">Cum 8 sprint(s)</t>
  </si>
  <si>
    <t xml:space="preserve">Issue key</t>
  </si>
  <si>
    <t xml:space="preserve">Summary</t>
  </si>
  <si>
    <t xml:space="preserve">Issue Type</t>
  </si>
  <si>
    <t xml:space="preserve">Status</t>
  </si>
  <si>
    <t xml:space="preserve">Story Points</t>
  </si>
  <si>
    <t xml:space="preserve">Sprint Committed</t>
  </si>
  <si>
    <t xml:space="preserve">Created</t>
  </si>
  <si>
    <t xml:space="preserve">Started</t>
  </si>
  <si>
    <t xml:space="preserve">Resolved</t>
  </si>
  <si>
    <t xml:space="preserve">Cycle Time (days)</t>
  </si>
  <si>
    <t xml:space="preserve">Lead Time (days)</t>
  </si>
  <si>
    <t xml:space="preserve">DEMO-101</t>
  </si>
  <si>
    <t xml:space="preserve">Add role permissions to mobile app</t>
  </si>
  <si>
    <t xml:space="preserve">Story</t>
  </si>
  <si>
    <t xml:space="preserve">Done</t>
  </si>
  <si>
    <t xml:space="preserve">DEMO-102</t>
  </si>
  <si>
    <t xml:space="preserve">Update API documentation</t>
  </si>
  <si>
    <t xml:space="preserve">Task</t>
  </si>
  <si>
    <t xml:space="preserve">DEMO-103</t>
  </si>
  <si>
    <t xml:space="preserve">Update CI pipeline config</t>
  </si>
  <si>
    <t xml:space="preserve">DEMO-104</t>
  </si>
  <si>
    <t xml:space="preserve">Update database indices</t>
  </si>
  <si>
    <t xml:space="preserve">DEMO-105</t>
  </si>
  <si>
    <t xml:space="preserve">Add search suggestions to mobile app</t>
  </si>
  <si>
    <t xml:space="preserve">DEMO-106</t>
  </si>
  <si>
    <t xml:space="preserve">Add audit log to reporting module</t>
  </si>
  <si>
    <t xml:space="preserve">DEMO-107</t>
  </si>
  <si>
    <t xml:space="preserve">Add audit log to mobile app</t>
  </si>
  <si>
    <t xml:space="preserve">DEMO-108</t>
  </si>
  <si>
    <t xml:space="preserve">Fix missing validation in customer portal</t>
  </si>
  <si>
    <t xml:space="preserve">Bug</t>
  </si>
  <si>
    <t xml:space="preserve">DEMO-109</t>
  </si>
  <si>
    <t xml:space="preserve">Fix broken pagination in reporting module</t>
  </si>
  <si>
    <t xml:space="preserve">DEMO-110</t>
  </si>
  <si>
    <t xml:space="preserve">DEMO-111</t>
  </si>
  <si>
    <t xml:space="preserve">Fix timeout on load in checkout</t>
  </si>
  <si>
    <t xml:space="preserve">DEMO-112</t>
  </si>
  <si>
    <t xml:space="preserve">Add password reset flow to admin console</t>
  </si>
  <si>
    <t xml:space="preserve">DEMO-113</t>
  </si>
  <si>
    <t xml:space="preserve">DEMO-114</t>
  </si>
  <si>
    <t xml:space="preserve">Fix layout glitch on mobile in reporting module</t>
  </si>
  <si>
    <t xml:space="preserve">DEMO-115</t>
  </si>
  <si>
    <t xml:space="preserve">DEMO-116</t>
  </si>
  <si>
    <t xml:space="preserve">Add profile avatars to customer portal</t>
  </si>
  <si>
    <t xml:space="preserve">DEMO-117</t>
  </si>
  <si>
    <t xml:space="preserve">DEMO-118</t>
  </si>
  <si>
    <t xml:space="preserve">Fix layout glitch on mobile in mobile app</t>
  </si>
  <si>
    <t xml:space="preserve">DEMO-119</t>
  </si>
  <si>
    <t xml:space="preserve">DEMO-120</t>
  </si>
  <si>
    <t xml:space="preserve">DEMO-121</t>
  </si>
  <si>
    <t xml:space="preserve">Add audit log to customer portal</t>
  </si>
  <si>
    <t xml:space="preserve">DEMO-122</t>
  </si>
  <si>
    <t xml:space="preserve">DEMO-123</t>
  </si>
  <si>
    <t xml:space="preserve">Add SSO login to checkout</t>
  </si>
  <si>
    <t xml:space="preserve">DEMO-124</t>
  </si>
  <si>
    <t xml:space="preserve">DEMO-125</t>
  </si>
  <si>
    <t xml:space="preserve">Fix missing validation in mobile app</t>
  </si>
  <si>
    <t xml:space="preserve">DEMO-126</t>
  </si>
  <si>
    <t xml:space="preserve">DEMO-127</t>
  </si>
  <si>
    <t xml:space="preserve">Fix broken pagination in mobile app</t>
  </si>
  <si>
    <t xml:space="preserve">DEMO-128</t>
  </si>
  <si>
    <t xml:space="preserve">Add export to CSV to customer portal</t>
  </si>
  <si>
    <t xml:space="preserve">DEMO-129</t>
  </si>
  <si>
    <t xml:space="preserve">Add audit log to admin console</t>
  </si>
  <si>
    <t xml:space="preserve">DEMO-130</t>
  </si>
  <si>
    <t xml:space="preserve">Add dark mode to reporting module</t>
  </si>
  <si>
    <t xml:space="preserve">DEMO-131</t>
  </si>
  <si>
    <t xml:space="preserve">Update test data set</t>
  </si>
  <si>
    <t xml:space="preserve">DEMO-132</t>
  </si>
  <si>
    <t xml:space="preserve">DEMO-133</t>
  </si>
  <si>
    <t xml:space="preserve">DEMO-134</t>
  </si>
  <si>
    <t xml:space="preserve">Add export to CSV to reporting module</t>
  </si>
  <si>
    <t xml:space="preserve">DEMO-135</t>
  </si>
  <si>
    <t xml:space="preserve">Add dark mode to mobile app</t>
  </si>
  <si>
    <t xml:space="preserve">DEMO-136</t>
  </si>
  <si>
    <t xml:space="preserve">DEMO-137</t>
  </si>
  <si>
    <t xml:space="preserve">DEMO-138</t>
  </si>
  <si>
    <t xml:space="preserve">Add SSO login to customer portal</t>
  </si>
  <si>
    <t xml:space="preserve">DEMO-139</t>
  </si>
  <si>
    <t xml:space="preserve">Add invoice download to checkout</t>
  </si>
  <si>
    <t xml:space="preserve">DEMO-140</t>
  </si>
  <si>
    <t xml:space="preserve">DEMO-141</t>
  </si>
  <si>
    <t xml:space="preserve">Add dark mode to customer portal</t>
  </si>
  <si>
    <t xml:space="preserve">DEMO-142</t>
  </si>
  <si>
    <t xml:space="preserve">Add API rate limiting to checkout</t>
  </si>
  <si>
    <t xml:space="preserve">DEMO-143</t>
  </si>
  <si>
    <t xml:space="preserve">Add email notifications to customer portal</t>
  </si>
  <si>
    <t xml:space="preserve">DEMO-144</t>
  </si>
  <si>
    <t xml:space="preserve">Fix missing validation in reporting module</t>
  </si>
  <si>
    <t xml:space="preserve">DEMO-145</t>
  </si>
  <si>
    <t xml:space="preserve">Add export to CSV to mobile app</t>
  </si>
  <si>
    <t xml:space="preserve">DEMO-146</t>
  </si>
  <si>
    <t xml:space="preserve">Fix broken pagination in customer portal</t>
  </si>
  <si>
    <t xml:space="preserve">DEMO-147</t>
  </si>
  <si>
    <t xml:space="preserve">Add saved filters to mobile app</t>
  </si>
  <si>
    <t xml:space="preserve">DEMO-148</t>
  </si>
  <si>
    <t xml:space="preserve">Fix incorrect totals in reporting module</t>
  </si>
  <si>
    <t xml:space="preserve">DEMO-149</t>
  </si>
  <si>
    <t xml:space="preserve">Add profile avatars to admin console</t>
  </si>
  <si>
    <t xml:space="preserve">DEMO-150</t>
  </si>
  <si>
    <t xml:space="preserve">DEMO-151</t>
  </si>
  <si>
    <t xml:space="preserve">DEMO-152</t>
  </si>
  <si>
    <t xml:space="preserve">DEMO-153</t>
  </si>
  <si>
    <t xml:space="preserve">Fix broken pagination in admin console</t>
  </si>
  <si>
    <t xml:space="preserve">DEMO-154</t>
  </si>
  <si>
    <t xml:space="preserve">Add bulk edit to mobile app</t>
  </si>
  <si>
    <t xml:space="preserve">DEMO-155</t>
  </si>
  <si>
    <t xml:space="preserve">Update monitoring alerts</t>
  </si>
  <si>
    <t xml:space="preserve">DEMO-156</t>
  </si>
  <si>
    <t xml:space="preserve">DEMO-157</t>
  </si>
  <si>
    <t xml:space="preserve">DEMO-158</t>
  </si>
  <si>
    <t xml:space="preserve">DEMO-159</t>
  </si>
  <si>
    <t xml:space="preserve">DEMO-160</t>
  </si>
  <si>
    <t xml:space="preserve">Add invoice download to admin console</t>
  </si>
  <si>
    <t xml:space="preserve">DEMO-161</t>
  </si>
  <si>
    <t xml:space="preserve">DEMO-162</t>
  </si>
  <si>
    <t xml:space="preserve">DEMO-163</t>
  </si>
  <si>
    <t xml:space="preserve">DEMO-164</t>
  </si>
  <si>
    <t xml:space="preserve">DEMO-165</t>
  </si>
  <si>
    <t xml:space="preserve">Add API rate limiting to admin console</t>
  </si>
  <si>
    <t xml:space="preserve">DEMO-166</t>
  </si>
  <si>
    <t xml:space="preserve">DEMO-167</t>
  </si>
  <si>
    <t xml:space="preserve">DEMO-168</t>
  </si>
  <si>
    <t xml:space="preserve">DEMO-169</t>
  </si>
  <si>
    <t xml:space="preserve">DEMO-170</t>
  </si>
  <si>
    <t xml:space="preserve">DEMO-171</t>
  </si>
  <si>
    <t xml:space="preserve">DEMO-172</t>
  </si>
  <si>
    <t xml:space="preserve">Add bulk edit to admin console</t>
  </si>
  <si>
    <t xml:space="preserve">DEMO-173</t>
  </si>
  <si>
    <t xml:space="preserve">DEMO-174</t>
  </si>
  <si>
    <t xml:space="preserve">DEMO-175</t>
  </si>
  <si>
    <t xml:space="preserve">Add role permissions to reporting module</t>
  </si>
  <si>
    <t xml:space="preserve">DEMO-176</t>
  </si>
  <si>
    <t xml:space="preserve">To Do</t>
  </si>
  <si>
    <t xml:space="preserve">Backlog</t>
  </si>
  <si>
    <t xml:space="preserve">DEMO-177</t>
  </si>
  <si>
    <t xml:space="preserve">Add email notifications to reporting module</t>
  </si>
  <si>
    <t xml:space="preserve">DEMO-178</t>
  </si>
  <si>
    <t xml:space="preserve">Add SSO login to mobile app</t>
  </si>
  <si>
    <t xml:space="preserve">DEMO-179</t>
  </si>
  <si>
    <t xml:space="preserve">DEMO-180</t>
  </si>
  <si>
    <t xml:space="preserve">DEMO-181</t>
  </si>
  <si>
    <t xml:space="preserve">DEMO-182</t>
  </si>
  <si>
    <t xml:space="preserve">DEMO-183</t>
  </si>
  <si>
    <t xml:space="preserve">DEMO-184</t>
  </si>
  <si>
    <t xml:space="preserve">DEMO-185</t>
  </si>
  <si>
    <t xml:space="preserve">Add export to CSV to admin console</t>
  </si>
  <si>
    <t xml:space="preserve">DEMO-186</t>
  </si>
  <si>
    <t xml:space="preserve">DEMO-187</t>
  </si>
  <si>
    <t xml:space="preserve">DEMO-188</t>
  </si>
  <si>
    <t xml:space="preserve">DEMO-189</t>
  </si>
  <si>
    <t xml:space="preserve">Fix incorrect totals in customer portal</t>
  </si>
  <si>
    <t xml:space="preserve">DEMO-190</t>
  </si>
  <si>
    <t xml:space="preserve">DEMO-191</t>
  </si>
  <si>
    <t xml:space="preserve">Add usage report to reporting module</t>
  </si>
  <si>
    <t xml:space="preserve">DEMO-192</t>
  </si>
  <si>
    <t xml:space="preserve">DEMO-193</t>
  </si>
  <si>
    <t xml:space="preserve">DEMO-194</t>
  </si>
  <si>
    <t xml:space="preserve">Add export to CSV to checkout</t>
  </si>
  <si>
    <t xml:space="preserve">DEMO-195</t>
  </si>
  <si>
    <t xml:space="preserve">DEMO-196</t>
  </si>
  <si>
    <t xml:space="preserve">DEMO-197</t>
  </si>
  <si>
    <t xml:space="preserve">Add API rate limiting to customer portal</t>
  </si>
  <si>
    <t xml:space="preserve">DEMO-198</t>
  </si>
  <si>
    <t xml:space="preserve">DEMO-199</t>
  </si>
  <si>
    <t xml:space="preserve">DEMO-200</t>
  </si>
  <si>
    <t xml:space="preserve">Fix missing validation in admin console</t>
  </si>
  <si>
    <t xml:space="preserve">DEMO-201</t>
  </si>
  <si>
    <t xml:space="preserve">DEMO-202</t>
  </si>
  <si>
    <t xml:space="preserve">DEMO-203</t>
  </si>
  <si>
    <t xml:space="preserve">In Review</t>
  </si>
  <si>
    <t xml:space="preserve">Sprint 11</t>
  </si>
  <si>
    <t xml:space="preserve">DEMO-204</t>
  </si>
  <si>
    <t xml:space="preserve">DEMO-205</t>
  </si>
  <si>
    <t xml:space="preserve">DEMO-206</t>
  </si>
  <si>
    <t xml:space="preserve">DEMO-207</t>
  </si>
  <si>
    <t xml:space="preserve">Add invoice download to reporting module</t>
  </si>
  <si>
    <t xml:space="preserve">DEMO-208</t>
  </si>
  <si>
    <t xml:space="preserve">Add usage report to checkout</t>
  </si>
  <si>
    <t xml:space="preserve">DEMO-209</t>
  </si>
  <si>
    <t xml:space="preserve">DEMO-210</t>
  </si>
  <si>
    <t xml:space="preserve">Add profile avatars to mobile app</t>
  </si>
  <si>
    <t xml:space="preserve">DEMO-211</t>
  </si>
  <si>
    <t xml:space="preserve">DEMO-212</t>
  </si>
  <si>
    <t xml:space="preserve">Fix timeout on load in mobile app</t>
  </si>
  <si>
    <t xml:space="preserve">In Progress</t>
  </si>
  <si>
    <t xml:space="preserve">DEMO-213</t>
  </si>
  <si>
    <t xml:space="preserve">Add onboarding checklist to admin console</t>
  </si>
  <si>
    <t xml:space="preserve">DEMO-214</t>
  </si>
  <si>
    <t xml:space="preserve">DEMO-215</t>
  </si>
  <si>
    <t xml:space="preserve">Add email notifications to mobile app</t>
  </si>
  <si>
    <t xml:space="preserve">DEMO-216</t>
  </si>
  <si>
    <t xml:space="preserve">Add email notifications to admin console</t>
  </si>
  <si>
    <t xml:space="preserve">DEMO-217</t>
  </si>
  <si>
    <t xml:space="preserve">DEMO-218</t>
  </si>
  <si>
    <t xml:space="preserve">DEMO-219</t>
  </si>
  <si>
    <t xml:space="preserve">Add profile avatars to checkout</t>
  </si>
  <si>
    <t xml:space="preserve">DEMO-220</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</si>
</sst>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yyyy\-mm\-dd"/>
  </numFmts>
  <fonts count="17">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0"/>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sz val="10"/>
      <color rgb="FF0000FF"/>
      <name val="Arial"/>
      <family val="0"/>
      <charset val="1"/>
    </font>
    <font>
      <sz val="9"/>
      <color rgb="FF595959"/>
      <name val="Arial"/>
      <family val="0"/>
      <charset val="1"/>
    </font>
    <font>
      <b val="true"/>
      <sz val="20"/>
      <color rgb="FF1F3864"/>
      <name val="Arial"/>
      <family val="0"/>
      <charset val="1"/>
    </font>
    <font>
      <b val="true"/>
      <sz val="12"/>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s>
  <fills count="5">
    <fill>
      <patternFill patternType="none"/>
    </fill>
    <fill>
      <patternFill patternType="gray125"/>
    </fill>
    <fill>
      <patternFill patternType="solid">
        <fgColor rgb="FFFFFF99"/>
        <bgColor rgb="FFFFFFCC"/>
      </patternFill>
    </fill>
    <fill>
      <patternFill patternType="solid">
        <fgColor rgb="FFEAF0FA"/>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fals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5" fontId="11" fillId="3" borderId="0" xfId="0" applyFont="true" applyBorder="true" applyAlignment="true" applyProtection="false">
      <alignment horizontal="center" vertical="center" textRotation="0" wrapText="false" indent="0" shrinkToFit="false"/>
      <protection locked="true" hidden="false"/>
    </xf>
    <xf numFmtId="166" fontId="11" fillId="3" borderId="0" xfId="0" applyFont="true" applyBorder="true" applyAlignment="true" applyProtection="false">
      <alignment horizontal="center" vertical="center" textRotation="0" wrapText="false" indent="0" shrinkToFit="false"/>
      <protection locked="true" hidden="false"/>
    </xf>
    <xf numFmtId="167" fontId="11" fillId="3"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FCC"/>
      <rgbColor rgb="FFEAF0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Committed vs completed points</a:t>
            </a:r>
          </a:p>
        </c:rich>
      </c:tx>
      <c:overlay val="0"/>
      <c:spPr>
        <a:noFill/>
        <a:ln w="0">
          <a:noFill/>
        </a:ln>
      </c:spPr>
    </c:title>
    <c:autoTitleDeleted val="0"/>
    <c:plotArea>
      <c:barChart>
        <c:barDir val="col"/>
        <c:grouping val="clustered"/>
        <c:varyColors val="0"/>
        <c:ser>
          <c:idx val="0"/>
          <c:order val="0"/>
          <c:tx>
            <c:strRef>
              <c:f>Sprint_Metrics!E6</c:f>
              <c:strCache>
                <c:ptCount val="1"/>
                <c:pt idx="0">
                  <c:v>Committed points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Sprint_Metrics!$A$7:$A$16</c:f>
              <c:strCache>
                <c:ptCount val="10"/>
                <c:pt idx="0">
                  <c:v>Sprint 1</c:v>
                </c:pt>
                <c:pt idx="1">
                  <c:v>Sprint 2</c:v>
                </c:pt>
                <c:pt idx="2">
                  <c:v>Sprint 3</c:v>
                </c:pt>
                <c:pt idx="3">
                  <c:v>Sprint 4</c:v>
                </c:pt>
                <c:pt idx="4">
                  <c:v>Sprint 5</c:v>
                </c:pt>
                <c:pt idx="5">
                  <c:v>Sprint 6</c:v>
                </c:pt>
                <c:pt idx="6">
                  <c:v>Sprint 7</c:v>
                </c:pt>
                <c:pt idx="7">
                  <c:v>Sprint 8</c:v>
                </c:pt>
                <c:pt idx="8">
                  <c:v>Sprint 9</c:v>
                </c:pt>
                <c:pt idx="9">
                  <c:v>Sprint 10</c:v>
                </c:pt>
              </c:strCache>
            </c:strRef>
          </c:cat>
          <c:val>
            <c:numRef>
              <c:f>Sprint_Metrics!$E$7:$E$16</c:f>
              <c:numCache>
                <c:formatCode>General</c:formatCode>
                <c:ptCount val="10"/>
                <c:pt idx="0">
                  <c:v>20</c:v>
                </c:pt>
                <c:pt idx="1">
                  <c:v>21</c:v>
                </c:pt>
                <c:pt idx="2">
                  <c:v>21</c:v>
                </c:pt>
                <c:pt idx="3">
                  <c:v>17</c:v>
                </c:pt>
                <c:pt idx="4">
                  <c:v>27</c:v>
                </c:pt>
                <c:pt idx="5">
                  <c:v>30</c:v>
                </c:pt>
                <c:pt idx="6">
                  <c:v>19</c:v>
                </c:pt>
                <c:pt idx="7">
                  <c:v>34</c:v>
                </c:pt>
                <c:pt idx="8">
                  <c:v>34</c:v>
                </c:pt>
                <c:pt idx="9">
                  <c:v>25</c:v>
                </c:pt>
              </c:numCache>
            </c:numRef>
          </c:val>
        </c:ser>
        <c:ser>
          <c:idx val="1"/>
          <c:order val="1"/>
          <c:tx>
            <c:strRef>
              <c:f>Sprint_Metrics!G6</c:f>
              <c:strCache>
                <c:ptCount val="1"/>
                <c:pt idx="0">
                  <c:v>Velocity (points done)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Sprint_Metrics!$A$7:$A$16</c:f>
              <c:strCache>
                <c:ptCount val="10"/>
                <c:pt idx="0">
                  <c:v>Sprint 1</c:v>
                </c:pt>
                <c:pt idx="1">
                  <c:v>Sprint 2</c:v>
                </c:pt>
                <c:pt idx="2">
                  <c:v>Sprint 3</c:v>
                </c:pt>
                <c:pt idx="3">
                  <c:v>Sprint 4</c:v>
                </c:pt>
                <c:pt idx="4">
                  <c:v>Sprint 5</c:v>
                </c:pt>
                <c:pt idx="5">
                  <c:v>Sprint 6</c:v>
                </c:pt>
                <c:pt idx="6">
                  <c:v>Sprint 7</c:v>
                </c:pt>
                <c:pt idx="7">
                  <c:v>Sprint 8</c:v>
                </c:pt>
                <c:pt idx="8">
                  <c:v>Sprint 9</c:v>
                </c:pt>
                <c:pt idx="9">
                  <c:v>Sprint 10</c:v>
                </c:pt>
              </c:strCache>
            </c:strRef>
          </c:cat>
          <c:val>
            <c:numRef>
              <c:f>Sprint_Metrics!$G$7:$G$16</c:f>
              <c:numCache>
                <c:formatCode>General</c:formatCode>
                <c:ptCount val="10"/>
                <c:pt idx="0">
                  <c:v>17</c:v>
                </c:pt>
                <c:pt idx="1">
                  <c:v>18</c:v>
                </c:pt>
                <c:pt idx="2">
                  <c:v>21</c:v>
                </c:pt>
                <c:pt idx="3">
                  <c:v>22</c:v>
                </c:pt>
                <c:pt idx="4">
                  <c:v>25</c:v>
                </c:pt>
                <c:pt idx="5">
                  <c:v>20</c:v>
                </c:pt>
                <c:pt idx="6">
                  <c:v>22</c:v>
                </c:pt>
                <c:pt idx="7">
                  <c:v>31</c:v>
                </c:pt>
                <c:pt idx="8">
                  <c:v>23</c:v>
                </c:pt>
                <c:pt idx="9">
                  <c:v>32</c:v>
                </c:pt>
              </c:numCache>
            </c:numRef>
          </c:val>
        </c:ser>
        <c:gapWidth val="150"/>
        <c:overlap val="0"/>
        <c:axId val="80672595"/>
        <c:axId val="8064697"/>
      </c:barChart>
      <c:catAx>
        <c:axId val="806725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64697"/>
        <c:crosses val="autoZero"/>
        <c:auto val="1"/>
        <c:lblAlgn val="ctr"/>
        <c:lblOffset val="100"/>
        <c:noMultiLvlLbl val="0"/>
      </c:catAx>
      <c:valAx>
        <c:axId val="806469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67259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Throughput (items done per sprint)</a:t>
            </a:r>
          </a:p>
        </c:rich>
      </c:tx>
      <c:overlay val="0"/>
      <c:spPr>
        <a:noFill/>
        <a:ln w="0">
          <a:noFill/>
        </a:ln>
      </c:spPr>
    </c:title>
    <c:autoTitleDeleted val="0"/>
    <c:plotArea>
      <c:lineChart>
        <c:grouping val="standard"/>
        <c:varyColors val="0"/>
        <c:ser>
          <c:idx val="0"/>
          <c:order val="0"/>
          <c:tx>
            <c:strRef>
              <c:f>Sprint_Metrics!F6</c:f>
              <c:strCache>
                <c:ptCount val="1"/>
                <c:pt idx="0">
                  <c:v>Throughput (items done)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Sprint_Metrics!$A$7:$A$16</c:f>
              <c:strCache>
                <c:ptCount val="10"/>
                <c:pt idx="0">
                  <c:v>Sprint 1</c:v>
                </c:pt>
                <c:pt idx="1">
                  <c:v>Sprint 2</c:v>
                </c:pt>
                <c:pt idx="2">
                  <c:v>Sprint 3</c:v>
                </c:pt>
                <c:pt idx="3">
                  <c:v>Sprint 4</c:v>
                </c:pt>
                <c:pt idx="4">
                  <c:v>Sprint 5</c:v>
                </c:pt>
                <c:pt idx="5">
                  <c:v>Sprint 6</c:v>
                </c:pt>
                <c:pt idx="6">
                  <c:v>Sprint 7</c:v>
                </c:pt>
                <c:pt idx="7">
                  <c:v>Sprint 8</c:v>
                </c:pt>
                <c:pt idx="8">
                  <c:v>Sprint 9</c:v>
                </c:pt>
                <c:pt idx="9">
                  <c:v>Sprint 10</c:v>
                </c:pt>
              </c:strCache>
            </c:strRef>
          </c:cat>
          <c:val>
            <c:numRef>
              <c:f>Sprint_Metrics!$F$7:$F$16</c:f>
              <c:numCache>
                <c:formatCode>General</c:formatCode>
                <c:ptCount val="10"/>
                <c:pt idx="0">
                  <c:v>8</c:v>
                </c:pt>
                <c:pt idx="1">
                  <c:v>11</c:v>
                </c:pt>
                <c:pt idx="2">
                  <c:v>8</c:v>
                </c:pt>
                <c:pt idx="3">
                  <c:v>11</c:v>
                </c:pt>
                <c:pt idx="4">
                  <c:v>8</c:v>
                </c:pt>
                <c:pt idx="5">
                  <c:v>7</c:v>
                </c:pt>
                <c:pt idx="6">
                  <c:v>9</c:v>
                </c:pt>
                <c:pt idx="7">
                  <c:v>12</c:v>
                </c:pt>
                <c:pt idx="8">
                  <c:v>7</c:v>
                </c:pt>
                <c:pt idx="9">
                  <c:v>9</c:v>
                </c:pt>
              </c:numCache>
            </c:numRef>
          </c:val>
          <c:smooth val="1"/>
        </c:ser>
        <c:hiLowLines>
          <c:spPr>
            <a:ln w="0">
              <a:noFill/>
            </a:ln>
          </c:spPr>
        </c:hiLowLines>
        <c:marker val="0"/>
        <c:axId val="91579985"/>
        <c:axId val="56486856"/>
      </c:lineChart>
      <c:catAx>
        <c:axId val="915799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486856"/>
        <c:crosses val="autoZero"/>
        <c:auto val="1"/>
        <c:lblAlgn val="ctr"/>
        <c:lblOffset val="100"/>
        <c:noMultiLvlLbl val="0"/>
      </c:catAx>
      <c:valAx>
        <c:axId val="564868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Items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5799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cycle time per sprint</a:t>
            </a:r>
          </a:p>
        </c:rich>
      </c:tx>
      <c:overlay val="0"/>
      <c:spPr>
        <a:noFill/>
        <a:ln w="0">
          <a:noFill/>
        </a:ln>
      </c:spPr>
    </c:title>
    <c:autoTitleDeleted val="0"/>
    <c:plotArea>
      <c:barChart>
        <c:barDir val="col"/>
        <c:grouping val="clustered"/>
        <c:varyColors val="0"/>
        <c:ser>
          <c:idx val="0"/>
          <c:order val="0"/>
          <c:tx>
            <c:strRef>
              <c:f>Sprint_Metrics!I6</c:f>
              <c:strCache>
                <c:ptCount val="1"/>
                <c:pt idx="0">
                  <c:v>Avg cycle time (days)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Sprint_Metrics!$A$7:$A$16</c:f>
              <c:strCache>
                <c:ptCount val="10"/>
                <c:pt idx="0">
                  <c:v>Sprint 1</c:v>
                </c:pt>
                <c:pt idx="1">
                  <c:v>Sprint 2</c:v>
                </c:pt>
                <c:pt idx="2">
                  <c:v>Sprint 3</c:v>
                </c:pt>
                <c:pt idx="3">
                  <c:v>Sprint 4</c:v>
                </c:pt>
                <c:pt idx="4">
                  <c:v>Sprint 5</c:v>
                </c:pt>
                <c:pt idx="5">
                  <c:v>Sprint 6</c:v>
                </c:pt>
                <c:pt idx="6">
                  <c:v>Sprint 7</c:v>
                </c:pt>
                <c:pt idx="7">
                  <c:v>Sprint 8</c:v>
                </c:pt>
                <c:pt idx="8">
                  <c:v>Sprint 9</c:v>
                </c:pt>
                <c:pt idx="9">
                  <c:v>Sprint 10</c:v>
                </c:pt>
              </c:strCache>
            </c:strRef>
          </c:cat>
          <c:val>
            <c:numRef>
              <c:f>Sprint_Metrics!$I$7:$I$16</c:f>
              <c:numCache>
                <c:formatCode>0.0</c:formatCode>
                <c:ptCount val="10"/>
                <c:pt idx="0">
                  <c:v>4</c:v>
                </c:pt>
                <c:pt idx="1">
                  <c:v>3.90909090909091</c:v>
                </c:pt>
                <c:pt idx="2">
                  <c:v>4.625</c:v>
                </c:pt>
                <c:pt idx="3">
                  <c:v>6.45454545454545</c:v>
                </c:pt>
                <c:pt idx="4">
                  <c:v>5</c:v>
                </c:pt>
                <c:pt idx="5">
                  <c:v>6.28571428571429</c:v>
                </c:pt>
                <c:pt idx="6">
                  <c:v>5.55555555555556</c:v>
                </c:pt>
                <c:pt idx="7">
                  <c:v>5.41666666666667</c:v>
                </c:pt>
                <c:pt idx="8">
                  <c:v>4.42857142857143</c:v>
                </c:pt>
                <c:pt idx="9">
                  <c:v>7.88888888888889</c:v>
                </c:pt>
              </c:numCache>
            </c:numRef>
          </c:val>
        </c:ser>
        <c:gapWidth val="150"/>
        <c:overlap val="0"/>
        <c:axId val="80374576"/>
        <c:axId val="65855446"/>
      </c:barChart>
      <c:catAx>
        <c:axId val="803745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855446"/>
        <c:crosses val="autoZero"/>
        <c:auto val="1"/>
        <c:lblAlgn val="ctr"/>
        <c:lblOffset val="100"/>
        <c:noMultiLvlLbl val="0"/>
      </c:catAx>
      <c:valAx>
        <c:axId val="6585544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Days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3745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Points done ÷ committed</a:t>
            </a:r>
          </a:p>
        </c:rich>
      </c:tx>
      <c:overlay val="0"/>
      <c:spPr>
        <a:noFill/>
        <a:ln w="0">
          <a:noFill/>
        </a:ln>
      </c:spPr>
    </c:title>
    <c:autoTitleDeleted val="0"/>
    <c:plotArea>
      <c:lineChart>
        <c:grouping val="standard"/>
        <c:varyColors val="0"/>
        <c:ser>
          <c:idx val="0"/>
          <c:order val="0"/>
          <c:tx>
            <c:strRef>
              <c:f>Sprint_Metrics!H6</c:f>
              <c:strCache>
                <c:ptCount val="1"/>
                <c:pt idx="0">
                  <c:v>Points done ÷ committed</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Sprint_Metrics!$A$7:$A$16</c:f>
              <c:strCache>
                <c:ptCount val="10"/>
                <c:pt idx="0">
                  <c:v>Sprint 1</c:v>
                </c:pt>
                <c:pt idx="1">
                  <c:v>Sprint 2</c:v>
                </c:pt>
                <c:pt idx="2">
                  <c:v>Sprint 3</c:v>
                </c:pt>
                <c:pt idx="3">
                  <c:v>Sprint 4</c:v>
                </c:pt>
                <c:pt idx="4">
                  <c:v>Sprint 5</c:v>
                </c:pt>
                <c:pt idx="5">
                  <c:v>Sprint 6</c:v>
                </c:pt>
                <c:pt idx="6">
                  <c:v>Sprint 7</c:v>
                </c:pt>
                <c:pt idx="7">
                  <c:v>Sprint 8</c:v>
                </c:pt>
                <c:pt idx="8">
                  <c:v>Sprint 9</c:v>
                </c:pt>
                <c:pt idx="9">
                  <c:v>Sprint 10</c:v>
                </c:pt>
              </c:strCache>
            </c:strRef>
          </c:cat>
          <c:val>
            <c:numRef>
              <c:f>Sprint_Metrics!$H$7:$H$16</c:f>
              <c:numCache>
                <c:formatCode>0%</c:formatCode>
                <c:ptCount val="10"/>
                <c:pt idx="0">
                  <c:v>0.85</c:v>
                </c:pt>
                <c:pt idx="1">
                  <c:v>0.857142857142857</c:v>
                </c:pt>
                <c:pt idx="2">
                  <c:v>1</c:v>
                </c:pt>
                <c:pt idx="3">
                  <c:v>1.29411764705882</c:v>
                </c:pt>
                <c:pt idx="4">
                  <c:v>0.925925925925926</c:v>
                </c:pt>
                <c:pt idx="5">
                  <c:v>0.666666666666667</c:v>
                </c:pt>
                <c:pt idx="6">
                  <c:v>1.15789473684211</c:v>
                </c:pt>
                <c:pt idx="7">
                  <c:v>0.911764705882353</c:v>
                </c:pt>
                <c:pt idx="8">
                  <c:v>0.676470588235294</c:v>
                </c:pt>
                <c:pt idx="9">
                  <c:v>1.28</c:v>
                </c:pt>
              </c:numCache>
            </c:numRef>
          </c:val>
          <c:smooth val="1"/>
        </c:ser>
        <c:hiLowLines>
          <c:spPr>
            <a:ln w="0">
              <a:noFill/>
            </a:ln>
          </c:spPr>
        </c:hiLowLines>
        <c:marker val="0"/>
        <c:axId val="12388877"/>
        <c:axId val="55608324"/>
      </c:lineChart>
      <c:catAx>
        <c:axId val="123888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608324"/>
        <c:crosses val="autoZero"/>
        <c:auto val="1"/>
        <c:lblAlgn val="ctr"/>
        <c:lblOffset val="100"/>
        <c:noMultiLvlLbl val="0"/>
      </c:catAx>
      <c:valAx>
        <c:axId val="55608324"/>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Ratio</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3888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Probability backlog is done by sprint</a:t>
            </a:r>
          </a:p>
        </c:rich>
      </c:tx>
      <c:overlay val="0"/>
      <c:spPr>
        <a:noFill/>
        <a:ln w="0">
          <a:noFill/>
        </a:ln>
      </c:spPr>
    </c:title>
    <c:autoTitleDeleted val="0"/>
    <c:plotArea>
      <c:lineChart>
        <c:grouping val="standard"/>
        <c:varyColors val="0"/>
        <c:ser>
          <c:idx val="0"/>
          <c:order val="0"/>
          <c:tx>
            <c:strRef>
              <c:f>Forecast!B12</c:f>
              <c:strCache>
                <c:ptCount val="1"/>
                <c:pt idx="0">
                  <c:v>Probability backlog is done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Forecast!$A$13:$A$20</c:f>
              <c:strCache>
                <c:ptCount val="8"/>
                <c:pt idx="0">
                  <c:v>1</c:v>
                </c:pt>
                <c:pt idx="1">
                  <c:v>2</c:v>
                </c:pt>
                <c:pt idx="2">
                  <c:v>3</c:v>
                </c:pt>
                <c:pt idx="3">
                  <c:v>4</c:v>
                </c:pt>
                <c:pt idx="4">
                  <c:v>5</c:v>
                </c:pt>
                <c:pt idx="5">
                  <c:v>6</c:v>
                </c:pt>
                <c:pt idx="6">
                  <c:v>7</c:v>
                </c:pt>
                <c:pt idx="7">
                  <c:v>8</c:v>
                </c:pt>
              </c:strCache>
            </c:strRef>
          </c:cat>
          <c:val>
            <c:numRef>
              <c:f>Forecast!$B$13:$B$20</c:f>
              <c:numCache>
                <c:formatCode>0%</c:formatCode>
                <c:ptCount val="8"/>
                <c:pt idx="0">
                  <c:v>0</c:v>
                </c:pt>
                <c:pt idx="1">
                  <c:v>0.014</c:v>
                </c:pt>
                <c:pt idx="2">
                  <c:v>0.862</c:v>
                </c:pt>
                <c:pt idx="3">
                  <c:v>1</c:v>
                </c:pt>
                <c:pt idx="4">
                  <c:v>1</c:v>
                </c:pt>
                <c:pt idx="5">
                  <c:v>1</c:v>
                </c:pt>
                <c:pt idx="6">
                  <c:v>1</c:v>
                </c:pt>
                <c:pt idx="7">
                  <c:v>1</c:v>
                </c:pt>
              </c:numCache>
            </c:numRef>
          </c:val>
          <c:smooth val="1"/>
        </c:ser>
        <c:hiLowLines>
          <c:spPr>
            <a:ln w="0">
              <a:noFill/>
            </a:ln>
          </c:spPr>
        </c:hiLowLines>
        <c:marker val="0"/>
        <c:axId val="35278495"/>
        <c:axId val="21156388"/>
      </c:lineChart>
      <c:catAx>
        <c:axId val="352784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Sprints from now</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56388"/>
        <c:crosses val="autoZero"/>
        <c:auto val="1"/>
        <c:lblAlgn val="ctr"/>
        <c:lblOffset val="100"/>
        <c:noMultiLvlLbl val="0"/>
      </c:catAx>
      <c:valAx>
        <c:axId val="21156388"/>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Probability</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27849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100800</xdr:rowOff>
    </xdr:from>
    <xdr:to>
      <xdr:col>4</xdr:col>
      <xdr:colOff>1008360</xdr:colOff>
      <xdr:row>28</xdr:row>
      <xdr:rowOff>25560</xdr:rowOff>
    </xdr:to>
    <xdr:graphicFrame>
      <xdr:nvGraphicFramePr>
        <xdr:cNvPr id="0" name="Chart 1"/>
        <xdr:cNvGraphicFramePr/>
      </xdr:nvGraphicFramePr>
      <xdr:xfrm>
        <a:off x="141120" y="4267080"/>
        <a:ext cx="4391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14</xdr:row>
      <xdr:rowOff>100800</xdr:rowOff>
    </xdr:from>
    <xdr:to>
      <xdr:col>8</xdr:col>
      <xdr:colOff>1008360</xdr:colOff>
      <xdr:row>28</xdr:row>
      <xdr:rowOff>25560</xdr:rowOff>
    </xdr:to>
    <xdr:graphicFrame>
      <xdr:nvGraphicFramePr>
        <xdr:cNvPr id="1" name="Chart 2"/>
        <xdr:cNvGraphicFramePr/>
      </xdr:nvGraphicFramePr>
      <xdr:xfrm>
        <a:off x="4651920" y="4267080"/>
        <a:ext cx="4391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30</xdr:row>
      <xdr:rowOff>100800</xdr:rowOff>
    </xdr:from>
    <xdr:to>
      <xdr:col>4</xdr:col>
      <xdr:colOff>1008360</xdr:colOff>
      <xdr:row>44</xdr:row>
      <xdr:rowOff>25560</xdr:rowOff>
    </xdr:to>
    <xdr:graphicFrame>
      <xdr:nvGraphicFramePr>
        <xdr:cNvPr id="2" name="Chart 3"/>
        <xdr:cNvGraphicFramePr/>
      </xdr:nvGraphicFramePr>
      <xdr:xfrm>
        <a:off x="141120" y="7315200"/>
        <a:ext cx="4391640" cy="259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30</xdr:row>
      <xdr:rowOff>100800</xdr:rowOff>
    </xdr:from>
    <xdr:to>
      <xdr:col>8</xdr:col>
      <xdr:colOff>1008360</xdr:colOff>
      <xdr:row>44</xdr:row>
      <xdr:rowOff>25560</xdr:rowOff>
    </xdr:to>
    <xdr:graphicFrame>
      <xdr:nvGraphicFramePr>
        <xdr:cNvPr id="3" name="Chart 4"/>
        <xdr:cNvGraphicFramePr/>
      </xdr:nvGraphicFramePr>
      <xdr:xfrm>
        <a:off x="4651920" y="7315200"/>
        <a:ext cx="4391640" cy="259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xdr:row>
      <xdr:rowOff>100800</xdr:rowOff>
    </xdr:from>
    <xdr:to>
      <xdr:col>13</xdr:col>
      <xdr:colOff>147600</xdr:colOff>
      <xdr:row>14</xdr:row>
      <xdr:rowOff>133560</xdr:rowOff>
    </xdr:to>
    <xdr:graphicFrame>
      <xdr:nvGraphicFramePr>
        <xdr:cNvPr id="4" name="Chart 1"/>
        <xdr:cNvGraphicFramePr/>
      </xdr:nvGraphicFramePr>
      <xdr:xfrm>
        <a:off x="7941960" y="38088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95"/>
  </cols>
  <sheetData>
    <row r="1" customFormat="false" ht="22.0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15" hidden="false" customHeight="false" outlineLevel="0" collapsed="false">
      <c r="B5" s="4" t="s">
        <v>3</v>
      </c>
      <c r="C5" s="5" t="s">
        <v>4</v>
      </c>
    </row>
    <row r="6" customFormat="false" ht="15" hidden="false" customHeight="false" outlineLevel="0" collapsed="false">
      <c r="B6" s="4" t="s">
        <v>5</v>
      </c>
      <c r="C6" s="5" t="s">
        <v>6</v>
      </c>
    </row>
    <row r="7" customFormat="false" ht="15" hidden="false" customHeight="false" outlineLevel="0" collapsed="false">
      <c r="B7" s="4" t="s">
        <v>7</v>
      </c>
      <c r="C7" s="5" t="s">
        <v>8</v>
      </c>
    </row>
    <row r="8" customFormat="false" ht="15" hidden="false" customHeight="false" outlineLevel="0" collapsed="false">
      <c r="B8" s="4" t="s">
        <v>9</v>
      </c>
      <c r="C8" s="5" t="s">
        <v>10</v>
      </c>
    </row>
    <row r="9" customFormat="false" ht="15" hidden="false" customHeight="false" outlineLevel="0" collapsed="false">
      <c r="B9" s="4" t="s">
        <v>11</v>
      </c>
      <c r="C9" s="5" t="s">
        <v>12</v>
      </c>
    </row>
    <row r="11" customFormat="false" ht="15" hidden="false" customHeight="false" outlineLevel="0" collapsed="false">
      <c r="B11" s="3" t="s">
        <v>13</v>
      </c>
    </row>
    <row r="12" customFormat="false" ht="23.85" hidden="false" customHeight="false" outlineLevel="0" collapsed="false">
      <c r="B12" s="4" t="s">
        <v>14</v>
      </c>
      <c r="C12" s="5" t="s">
        <v>15</v>
      </c>
    </row>
    <row r="13" customFormat="false" ht="23.85" hidden="false" customHeight="false" outlineLevel="0" collapsed="false">
      <c r="B13" s="4" t="s">
        <v>16</v>
      </c>
      <c r="C13" s="5" t="s">
        <v>17</v>
      </c>
    </row>
    <row r="14" customFormat="false" ht="15" hidden="false" customHeight="false" outlineLevel="0" collapsed="false">
      <c r="B14" s="4" t="s">
        <v>18</v>
      </c>
      <c r="C14" s="5" t="s">
        <v>19</v>
      </c>
    </row>
    <row r="15" customFormat="false" ht="23.85" hidden="false" customHeight="false" outlineLevel="0" collapsed="false">
      <c r="B15" s="4" t="s">
        <v>20</v>
      </c>
      <c r="C15" s="5" t="s">
        <v>21</v>
      </c>
    </row>
    <row r="16" customFormat="false" ht="15" hidden="false" customHeight="false" outlineLevel="0" collapsed="false">
      <c r="B16" s="4" t="s">
        <v>22</v>
      </c>
      <c r="C16" s="5" t="s">
        <v>23</v>
      </c>
    </row>
    <row r="18" customFormat="false" ht="15" hidden="false" customHeight="false" outlineLevel="0" collapsed="false">
      <c r="B18" s="3" t="s">
        <v>24</v>
      </c>
    </row>
    <row r="19" customFormat="false" ht="15" hidden="false" customHeight="false" outlineLevel="0" collapsed="false">
      <c r="B19" s="6" t="s">
        <v>25</v>
      </c>
      <c r="C19" s="5" t="s">
        <v>26</v>
      </c>
    </row>
    <row r="20" customFormat="false" ht="15" hidden="false" customHeight="false" outlineLevel="0" collapsed="false">
      <c r="B20" s="4" t="s">
        <v>27</v>
      </c>
      <c r="C20" s="5" t="s">
        <v>28</v>
      </c>
    </row>
    <row r="22" customFormat="false" ht="15" hidden="false" customHeight="false" outlineLevel="0" collapsed="false">
      <c r="B22" s="3" t="s">
        <v>29</v>
      </c>
    </row>
    <row r="23" customFormat="false" ht="15" hidden="false" customHeight="false" outlineLevel="0" collapsed="false">
      <c r="B23" s="4" t="s">
        <v>30</v>
      </c>
      <c r="C23" s="5" t="s">
        <v>31</v>
      </c>
    </row>
    <row r="24" customFormat="false" ht="15" hidden="false" customHeight="false" outlineLevel="0" collapsed="false">
      <c r="B24" s="4" t="s">
        <v>32</v>
      </c>
      <c r="C24" s="5" t="s">
        <v>33</v>
      </c>
    </row>
    <row r="25" customFormat="false" ht="23.85" hidden="false" customHeight="false" outlineLevel="0" collapsed="false">
      <c r="B25" s="4" t="s">
        <v>34</v>
      </c>
      <c r="C25" s="5" t="s">
        <v>35</v>
      </c>
    </row>
    <row r="26" customFormat="false" ht="15" hidden="false" customHeight="false" outlineLevel="0" collapsed="false">
      <c r="B26" s="4" t="s">
        <v>36</v>
      </c>
      <c r="C26" s="5"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9" min="2" style="0" width="16"/>
  </cols>
  <sheetData>
    <row r="1" customFormat="false" ht="22.05" hidden="false" customHeight="false" outlineLevel="0" collapsed="false">
      <c r="B1" s="1" t="s">
        <v>38</v>
      </c>
    </row>
    <row r="2" customFormat="false" ht="15" hidden="false" customHeight="false" outlineLevel="0" collapsed="false">
      <c r="B2" s="2" t="s">
        <v>39</v>
      </c>
    </row>
    <row r="4" customFormat="false" ht="21.75" hidden="false" customHeight="true" outlineLevel="0" collapsed="false">
      <c r="B4" s="7" t="s">
        <v>40</v>
      </c>
      <c r="C4" s="7"/>
      <c r="D4" s="7" t="s">
        <v>41</v>
      </c>
      <c r="E4" s="7"/>
      <c r="F4" s="7" t="s">
        <v>42</v>
      </c>
      <c r="G4" s="7"/>
      <c r="H4" s="7" t="s">
        <v>43</v>
      </c>
      <c r="I4" s="7"/>
    </row>
    <row r="5" customFormat="false" ht="33.75" hidden="false" customHeight="true" outlineLevel="0" collapsed="false">
      <c r="B5" s="8" t="n">
        <f aca="false">Sprint_Metrics!G17</f>
        <v>23.1</v>
      </c>
      <c r="C5" s="8"/>
      <c r="D5" s="8" t="n">
        <f aca="false">Sprint_Metrics!F17</f>
        <v>9</v>
      </c>
      <c r="E5" s="8"/>
      <c r="F5" s="8" t="n">
        <f aca="false">MEDIAN(Jira_Data!$J$2:$J$500)</f>
        <v>4</v>
      </c>
      <c r="G5" s="8"/>
      <c r="H5" s="8" t="n">
        <f aca="false">PERCENTILE(Jira_Data!$J$2:$J$500,0.85)</f>
        <v>9</v>
      </c>
      <c r="I5" s="8"/>
    </row>
    <row r="7" customFormat="false" ht="21.75" hidden="false" customHeight="true" outlineLevel="0" collapsed="false">
      <c r="B7" s="7" t="s">
        <v>44</v>
      </c>
      <c r="C7" s="7"/>
      <c r="D7" s="7" t="s">
        <v>45</v>
      </c>
      <c r="E7" s="7"/>
      <c r="F7" s="7" t="s">
        <v>46</v>
      </c>
      <c r="G7" s="7"/>
      <c r="H7" s="7" t="s">
        <v>47</v>
      </c>
      <c r="I7" s="7"/>
    </row>
    <row r="8" customFormat="false" ht="33.75" hidden="false" customHeight="true" outlineLevel="0" collapsed="false">
      <c r="B8" s="9" t="n">
        <f aca="false">SUM(Sprint_Metrics!G7:G16)/SUM(Sprint_Metrics!E7:E16)</f>
        <v>0.931451612903226</v>
      </c>
      <c r="C8" s="9"/>
      <c r="D8" s="9" t="n">
        <f aca="false">STDEV(Sprint_Metrics!$G$7:$G$16)/AVERAGE(Sprint_Metrics!$G$7:$G$16)</f>
        <v>0.216402111056479</v>
      </c>
      <c r="E8" s="9"/>
      <c r="F8" s="9" t="n">
        <f aca="false">COUNTIF(Jira_Data!$C$2:$C$500,"Bug")/COUNTA(Jira_Data!$A$2:$A$500)</f>
        <v>0.216666666666667</v>
      </c>
      <c r="G8" s="9"/>
      <c r="H8" s="10" t="n">
        <f aca="false">COUNTA(Jira_Data!$A$2:$A$500)-COUNTIF(Jira_Data!$D$2:$D$500,"Done")</f>
        <v>24</v>
      </c>
      <c r="I8" s="10"/>
    </row>
    <row r="10" customFormat="false" ht="15" hidden="false" customHeight="false" outlineLevel="0" collapsed="false">
      <c r="B10" s="11" t="s">
        <v>48</v>
      </c>
    </row>
    <row r="11" customFormat="false" ht="30" hidden="false" customHeight="true" outlineLevel="0" collapsed="false">
      <c r="B11" s="12" t="str">
        <f aca="false">"Flow: 85% of items finish within "&amp;TEXT(H5,"0")&amp;" days of starting. Use this as a service-level expectation when stakeholders ask how long work takes."</f>
        <v>Flow: 85% of items finish within 9 days of starting. Use this as a service-level expectation when stakeholders ask how long work takes.</v>
      </c>
      <c r="C11" s="12"/>
      <c r="D11" s="12"/>
      <c r="E11" s="12"/>
      <c r="F11" s="12"/>
      <c r="G11" s="12"/>
      <c r="H11" s="12"/>
      <c r="I11" s="12"/>
    </row>
    <row r="12" customFormat="false" ht="30" hidden="false" customHeight="true" outlineLevel="0" collapsed="false">
      <c r="B12" s="12" t="str">
        <f aca="false">"Predictability: the team delivers "&amp;TEXT(B8,"0%")&amp;" of the points it commits to per sprint, and velocity varies by about "&amp;TEXT(D8,"0%")&amp;" sprint to sprint (lower is steadier)."</f>
        <v>Predictability: the team delivers 93% of the points it commits to per sprint, and velocity varies by about 22% sprint to sprint (lower is steadier).</v>
      </c>
      <c r="C12" s="12"/>
      <c r="D12" s="12"/>
      <c r="E12" s="12"/>
      <c r="F12" s="12"/>
      <c r="G12" s="12"/>
      <c r="H12" s="12"/>
      <c r="I12" s="12"/>
    </row>
    <row r="13" customFormat="false" ht="30" hidden="false" customHeight="true" outlineLevel="0" collapsed="false">
      <c r="B13" s="12" t="str">
        <f aca="false">"Quality: bugs make up "&amp;TEXT(F8,"0%")&amp;" of all issues. Track whether this trends down as quality practices improve."</f>
        <v>Quality: bugs make up 22% of all issues. Track whether this trends down as quality practices improve.</v>
      </c>
      <c r="C13" s="12"/>
      <c r="D13" s="12"/>
      <c r="E13" s="12"/>
      <c r="F13" s="12"/>
      <c r="G13" s="12"/>
      <c r="H13" s="12"/>
      <c r="I13" s="12"/>
    </row>
    <row r="14" customFormat="false" ht="30" hidden="false" customHeight="true" outlineLevel="0" collapsed="false">
      <c r="B14" s="12" t="str">
        <f aca="false">"Forecast: with "&amp;Forecast!B5&amp;" items remaining, there is "&amp;TEXT(Forecast!B6,"0%")&amp;" confidence of finishing within "&amp;Forecast!B22&amp;" sprint(s) (by "&amp;IF(ISNUMBER(Forecast!B23),TEXT(Forecast!B23,"dd mmm yyyy"),Forecast!B23)&amp;")."</f>
        <v>Forecast: with 24 items remaining, there is 85% confidence of finishing within 3 sprint(s) (by 30 Aug 2026).</v>
      </c>
      <c r="C14" s="12"/>
      <c r="D14" s="12"/>
      <c r="E14" s="12"/>
      <c r="F14" s="12"/>
      <c r="G14" s="12"/>
      <c r="H14" s="12"/>
      <c r="I14" s="12"/>
    </row>
  </sheetData>
  <mergeCells count="20">
    <mergeCell ref="B4:C4"/>
    <mergeCell ref="D4:E4"/>
    <mergeCell ref="F4:G4"/>
    <mergeCell ref="H4:I4"/>
    <mergeCell ref="B5:C5"/>
    <mergeCell ref="D5:E5"/>
    <mergeCell ref="F5:G5"/>
    <mergeCell ref="H5:I5"/>
    <mergeCell ref="B7:C7"/>
    <mergeCell ref="D7:E7"/>
    <mergeCell ref="F7:G7"/>
    <mergeCell ref="H7:I7"/>
    <mergeCell ref="B8:C8"/>
    <mergeCell ref="D8:E8"/>
    <mergeCell ref="F8:G8"/>
    <mergeCell ref="H8:I8"/>
    <mergeCell ref="B11:I11"/>
    <mergeCell ref="B12:I12"/>
    <mergeCell ref="B13:I13"/>
    <mergeCell ref="B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0" min="2" style="0" width="14"/>
  </cols>
  <sheetData>
    <row r="1" customFormat="false" ht="22.05" hidden="false" customHeight="false" outlineLevel="0" collapsed="false">
      <c r="A1" s="1" t="s">
        <v>49</v>
      </c>
    </row>
    <row r="2" customFormat="false" ht="15" hidden="false" customHeight="false" outlineLevel="0" collapsed="false">
      <c r="A2" s="2" t="s">
        <v>50</v>
      </c>
    </row>
    <row r="3" customFormat="false" ht="15" hidden="false" customHeight="false" outlineLevel="0" collapsed="false">
      <c r="A3" s="13" t="s">
        <v>51</v>
      </c>
      <c r="B3" s="14" t="n">
        <v>14</v>
      </c>
    </row>
    <row r="4" customFormat="false" ht="15" hidden="false" customHeight="false" outlineLevel="0" collapsed="false">
      <c r="A4" s="13" t="s">
        <v>52</v>
      </c>
      <c r="B4" s="15" t="n">
        <v>46083</v>
      </c>
    </row>
    <row r="6" customFormat="false" ht="42" hidden="false" customHeight="true" outlineLevel="0" collapsed="false">
      <c r="A6" s="16" t="s">
        <v>53</v>
      </c>
      <c r="B6" s="16" t="s">
        <v>54</v>
      </c>
      <c r="C6" s="16" t="s">
        <v>55</v>
      </c>
      <c r="D6" s="16" t="s">
        <v>56</v>
      </c>
      <c r="E6" s="16" t="s">
        <v>57</v>
      </c>
      <c r="F6" s="16" t="s">
        <v>58</v>
      </c>
      <c r="G6" s="16" t="s">
        <v>59</v>
      </c>
      <c r="H6" s="16" t="s">
        <v>44</v>
      </c>
      <c r="I6" s="16" t="s">
        <v>60</v>
      </c>
      <c r="J6" s="16" t="s">
        <v>61</v>
      </c>
    </row>
    <row r="7" customFormat="false" ht="15" hidden="false" customHeight="false" outlineLevel="0" collapsed="false">
      <c r="A7" s="17" t="s">
        <v>62</v>
      </c>
      <c r="B7" s="18" t="n">
        <f aca="false">$B$4</f>
        <v>46083</v>
      </c>
      <c r="C7" s="18" t="n">
        <f aca="false">B7+$B$3-1</f>
        <v>46096</v>
      </c>
      <c r="D7" s="17" t="n">
        <f aca="false">COUNTIF(Jira_Data!$F$2:$F$500,A7)</f>
        <v>10</v>
      </c>
      <c r="E7" s="17" t="n">
        <f aca="false">SUMIFS(Jira_Data!$E$2:$E$500,Jira_Data!$F$2:$F$500,A7)</f>
        <v>20</v>
      </c>
      <c r="F7" s="17" t="n">
        <f aca="false">COUNTIFS(Jira_Data!$I$2:$I$500,"&gt;="&amp;B7,Jira_Data!$I$2:$I$500,"&lt;="&amp;C7)</f>
        <v>8</v>
      </c>
      <c r="G7" s="17" t="n">
        <f aca="false">SUMIFS(Jira_Data!$E$2:$E$500,Jira_Data!$I$2:$I$500,"&gt;="&amp;B7,Jira_Data!$I$2:$I$500,"&lt;="&amp;C7)</f>
        <v>17</v>
      </c>
      <c r="H7" s="19" t="n">
        <f aca="false">IF(E7=0,0,G7/E7)</f>
        <v>0.85</v>
      </c>
      <c r="I7" s="20" t="n">
        <f aca="false">IFERROR(AVERAGEIFS(Jira_Data!$J$2:$J$500,Jira_Data!$I$2:$I$500,"&gt;="&amp;B7,Jira_Data!$I$2:$I$500,"&lt;="&amp;C7),0)</f>
        <v>4</v>
      </c>
      <c r="J7" s="17" t="n">
        <f aca="false">COUNTIFS(Jira_Data!$C$2:$C$500,"Bug",Jira_Data!$I$2:$I$500,"&gt;="&amp;B7,Jira_Data!$I$2:$I$500,"&lt;="&amp;C7)</f>
        <v>4</v>
      </c>
    </row>
    <row r="8" customFormat="false" ht="15" hidden="false" customHeight="false" outlineLevel="0" collapsed="false">
      <c r="A8" s="17" t="s">
        <v>63</v>
      </c>
      <c r="B8" s="18" t="n">
        <f aca="false">C7+1</f>
        <v>46097</v>
      </c>
      <c r="C8" s="18" t="n">
        <f aca="false">B8+$B$3-1</f>
        <v>46110</v>
      </c>
      <c r="D8" s="17" t="n">
        <f aca="false">COUNTIF(Jira_Data!$F$2:$F$500,A8)</f>
        <v>11</v>
      </c>
      <c r="E8" s="17" t="n">
        <f aca="false">SUMIFS(Jira_Data!$E$2:$E$500,Jira_Data!$F$2:$F$500,A8)</f>
        <v>21</v>
      </c>
      <c r="F8" s="17" t="n">
        <f aca="false">COUNTIFS(Jira_Data!$I$2:$I$500,"&gt;="&amp;B8,Jira_Data!$I$2:$I$500,"&lt;="&amp;C8)</f>
        <v>11</v>
      </c>
      <c r="G8" s="17" t="n">
        <f aca="false">SUMIFS(Jira_Data!$E$2:$E$500,Jira_Data!$I$2:$I$500,"&gt;="&amp;B8,Jira_Data!$I$2:$I$500,"&lt;="&amp;C8)</f>
        <v>18</v>
      </c>
      <c r="H8" s="19" t="n">
        <f aca="false">IF(E8=0,0,G8/E8)</f>
        <v>0.857142857142857</v>
      </c>
      <c r="I8" s="20" t="n">
        <f aca="false">IFERROR(AVERAGEIFS(Jira_Data!$J$2:$J$500,Jira_Data!$I$2:$I$500,"&gt;="&amp;B8,Jira_Data!$I$2:$I$500,"&lt;="&amp;C8),0)</f>
        <v>3.90909090909091</v>
      </c>
      <c r="J8" s="17" t="n">
        <f aca="false">COUNTIFS(Jira_Data!$C$2:$C$500,"Bug",Jira_Data!$I$2:$I$500,"&gt;="&amp;B8,Jira_Data!$I$2:$I$500,"&lt;="&amp;C8)</f>
        <v>3</v>
      </c>
    </row>
    <row r="9" customFormat="false" ht="15" hidden="false" customHeight="false" outlineLevel="0" collapsed="false">
      <c r="A9" s="17" t="s">
        <v>64</v>
      </c>
      <c r="B9" s="18" t="n">
        <f aca="false">C8+1</f>
        <v>46111</v>
      </c>
      <c r="C9" s="18" t="n">
        <f aca="false">B9+$B$3-1</f>
        <v>46124</v>
      </c>
      <c r="D9" s="17" t="n">
        <f aca="false">COUNTIF(Jira_Data!$F$2:$F$500,A9)</f>
        <v>9</v>
      </c>
      <c r="E9" s="17" t="n">
        <f aca="false">SUMIFS(Jira_Data!$E$2:$E$500,Jira_Data!$F$2:$F$500,A9)</f>
        <v>21</v>
      </c>
      <c r="F9" s="17" t="n">
        <f aca="false">COUNTIFS(Jira_Data!$I$2:$I$500,"&gt;="&amp;B9,Jira_Data!$I$2:$I$500,"&lt;="&amp;C9)</f>
        <v>8</v>
      </c>
      <c r="G9" s="17" t="n">
        <f aca="false">SUMIFS(Jira_Data!$E$2:$E$500,Jira_Data!$I$2:$I$500,"&gt;="&amp;B9,Jira_Data!$I$2:$I$500,"&lt;="&amp;C9)</f>
        <v>21</v>
      </c>
      <c r="H9" s="19" t="n">
        <f aca="false">IF(E9=0,0,G9/E9)</f>
        <v>1</v>
      </c>
      <c r="I9" s="20" t="n">
        <f aca="false">IFERROR(AVERAGEIFS(Jira_Data!$J$2:$J$500,Jira_Data!$I$2:$I$500,"&gt;="&amp;B9,Jira_Data!$I$2:$I$500,"&lt;="&amp;C9),0)</f>
        <v>4.625</v>
      </c>
      <c r="J9" s="17" t="n">
        <f aca="false">COUNTIFS(Jira_Data!$C$2:$C$500,"Bug",Jira_Data!$I$2:$I$500,"&gt;="&amp;B9,Jira_Data!$I$2:$I$500,"&lt;="&amp;C9)</f>
        <v>2</v>
      </c>
    </row>
    <row r="10" customFormat="false" ht="15" hidden="false" customHeight="false" outlineLevel="0" collapsed="false">
      <c r="A10" s="17" t="s">
        <v>65</v>
      </c>
      <c r="B10" s="18" t="n">
        <f aca="false">C9+1</f>
        <v>46125</v>
      </c>
      <c r="C10" s="18" t="n">
        <f aca="false">B10+$B$3-1</f>
        <v>46138</v>
      </c>
      <c r="D10" s="17" t="n">
        <f aca="false">COUNTIF(Jira_Data!$F$2:$F$500,A10)</f>
        <v>9</v>
      </c>
      <c r="E10" s="17" t="n">
        <f aca="false">SUMIFS(Jira_Data!$E$2:$E$500,Jira_Data!$F$2:$F$500,A10)</f>
        <v>17</v>
      </c>
      <c r="F10" s="17" t="n">
        <f aca="false">COUNTIFS(Jira_Data!$I$2:$I$500,"&gt;="&amp;B10,Jira_Data!$I$2:$I$500,"&lt;="&amp;C10)</f>
        <v>11</v>
      </c>
      <c r="G10" s="17" t="n">
        <f aca="false">SUMIFS(Jira_Data!$E$2:$E$500,Jira_Data!$I$2:$I$500,"&gt;="&amp;B10,Jira_Data!$I$2:$I$500,"&lt;="&amp;C10)</f>
        <v>22</v>
      </c>
      <c r="H10" s="19" t="n">
        <f aca="false">IF(E10=0,0,G10/E10)</f>
        <v>1.29411764705882</v>
      </c>
      <c r="I10" s="20" t="n">
        <f aca="false">IFERROR(AVERAGEIFS(Jira_Data!$J$2:$J$500,Jira_Data!$I$2:$I$500,"&gt;="&amp;B10,Jira_Data!$I$2:$I$500,"&lt;="&amp;C10),0)</f>
        <v>6.45454545454545</v>
      </c>
      <c r="J10" s="17" t="n">
        <f aca="false">COUNTIFS(Jira_Data!$C$2:$C$500,"Bug",Jira_Data!$I$2:$I$500,"&gt;="&amp;B10,Jira_Data!$I$2:$I$500,"&lt;="&amp;C10)</f>
        <v>2</v>
      </c>
    </row>
    <row r="11" customFormat="false" ht="15" hidden="false" customHeight="false" outlineLevel="0" collapsed="false">
      <c r="A11" s="17" t="s">
        <v>66</v>
      </c>
      <c r="B11" s="18" t="n">
        <f aca="false">C10+1</f>
        <v>46139</v>
      </c>
      <c r="C11" s="18" t="n">
        <f aca="false">B11+$B$3-1</f>
        <v>46152</v>
      </c>
      <c r="D11" s="17" t="n">
        <f aca="false">COUNTIF(Jira_Data!$F$2:$F$500,A11)</f>
        <v>8</v>
      </c>
      <c r="E11" s="17" t="n">
        <f aca="false">SUMIFS(Jira_Data!$E$2:$E$500,Jira_Data!$F$2:$F$500,A11)</f>
        <v>27</v>
      </c>
      <c r="F11" s="17" t="n">
        <f aca="false">COUNTIFS(Jira_Data!$I$2:$I$500,"&gt;="&amp;B11,Jira_Data!$I$2:$I$500,"&lt;="&amp;C11)</f>
        <v>8</v>
      </c>
      <c r="G11" s="17" t="n">
        <f aca="false">SUMIFS(Jira_Data!$E$2:$E$500,Jira_Data!$I$2:$I$500,"&gt;="&amp;B11,Jira_Data!$I$2:$I$500,"&lt;="&amp;C11)</f>
        <v>25</v>
      </c>
      <c r="H11" s="19" t="n">
        <f aca="false">IF(E11=0,0,G11/E11)</f>
        <v>0.925925925925926</v>
      </c>
      <c r="I11" s="20" t="n">
        <f aca="false">IFERROR(AVERAGEIFS(Jira_Data!$J$2:$J$500,Jira_Data!$I$2:$I$500,"&gt;="&amp;B11,Jira_Data!$I$2:$I$500,"&lt;="&amp;C11),0)</f>
        <v>5</v>
      </c>
      <c r="J11" s="17" t="n">
        <f aca="false">COUNTIFS(Jira_Data!$C$2:$C$500,"Bug",Jira_Data!$I$2:$I$500,"&gt;="&amp;B11,Jira_Data!$I$2:$I$500,"&lt;="&amp;C11)</f>
        <v>3</v>
      </c>
    </row>
    <row r="12" customFormat="false" ht="15" hidden="false" customHeight="false" outlineLevel="0" collapsed="false">
      <c r="A12" s="17" t="s">
        <v>67</v>
      </c>
      <c r="B12" s="18" t="n">
        <f aca="false">C11+1</f>
        <v>46153</v>
      </c>
      <c r="C12" s="18" t="n">
        <f aca="false">B12+$B$3-1</f>
        <v>46166</v>
      </c>
      <c r="D12" s="17" t="n">
        <f aca="false">COUNTIF(Jira_Data!$F$2:$F$500,A12)</f>
        <v>9</v>
      </c>
      <c r="E12" s="17" t="n">
        <f aca="false">SUMIFS(Jira_Data!$E$2:$E$500,Jira_Data!$F$2:$F$500,A12)</f>
        <v>30</v>
      </c>
      <c r="F12" s="17" t="n">
        <f aca="false">COUNTIFS(Jira_Data!$I$2:$I$500,"&gt;="&amp;B12,Jira_Data!$I$2:$I$500,"&lt;="&amp;C12)</f>
        <v>7</v>
      </c>
      <c r="G12" s="17" t="n">
        <f aca="false">SUMIFS(Jira_Data!$E$2:$E$500,Jira_Data!$I$2:$I$500,"&gt;="&amp;B12,Jira_Data!$I$2:$I$500,"&lt;="&amp;C12)</f>
        <v>20</v>
      </c>
      <c r="H12" s="19" t="n">
        <f aca="false">IF(E12=0,0,G12/E12)</f>
        <v>0.666666666666667</v>
      </c>
      <c r="I12" s="20" t="n">
        <f aca="false">IFERROR(AVERAGEIFS(Jira_Data!$J$2:$J$500,Jira_Data!$I$2:$I$500,"&gt;="&amp;B12,Jira_Data!$I$2:$I$500,"&lt;="&amp;C12),0)</f>
        <v>6.28571428571429</v>
      </c>
      <c r="J12" s="17" t="n">
        <f aca="false">COUNTIFS(Jira_Data!$C$2:$C$500,"Bug",Jira_Data!$I$2:$I$500,"&gt;="&amp;B12,Jira_Data!$I$2:$I$500,"&lt;="&amp;C12)</f>
        <v>0</v>
      </c>
    </row>
    <row r="13" customFormat="false" ht="15" hidden="false" customHeight="false" outlineLevel="0" collapsed="false">
      <c r="A13" s="17" t="s">
        <v>68</v>
      </c>
      <c r="B13" s="18" t="n">
        <f aca="false">C12+1</f>
        <v>46167</v>
      </c>
      <c r="C13" s="18" t="n">
        <f aca="false">B13+$B$3-1</f>
        <v>46180</v>
      </c>
      <c r="D13" s="17" t="n">
        <f aca="false">COUNTIF(Jira_Data!$F$2:$F$500,A13)</f>
        <v>9</v>
      </c>
      <c r="E13" s="17" t="n">
        <f aca="false">SUMIFS(Jira_Data!$E$2:$E$500,Jira_Data!$F$2:$F$500,A13)</f>
        <v>19</v>
      </c>
      <c r="F13" s="17" t="n">
        <f aca="false">COUNTIFS(Jira_Data!$I$2:$I$500,"&gt;="&amp;B13,Jira_Data!$I$2:$I$500,"&lt;="&amp;C13)</f>
        <v>9</v>
      </c>
      <c r="G13" s="17" t="n">
        <f aca="false">SUMIFS(Jira_Data!$E$2:$E$500,Jira_Data!$I$2:$I$500,"&gt;="&amp;B13,Jira_Data!$I$2:$I$500,"&lt;="&amp;C13)</f>
        <v>22</v>
      </c>
      <c r="H13" s="19" t="n">
        <f aca="false">IF(E13=0,0,G13/E13)</f>
        <v>1.15789473684211</v>
      </c>
      <c r="I13" s="20" t="n">
        <f aca="false">IFERROR(AVERAGEIFS(Jira_Data!$J$2:$J$500,Jira_Data!$I$2:$I$500,"&gt;="&amp;B13,Jira_Data!$I$2:$I$500,"&lt;="&amp;C13),0)</f>
        <v>5.55555555555556</v>
      </c>
      <c r="J13" s="17" t="n">
        <f aca="false">COUNTIFS(Jira_Data!$C$2:$C$500,"Bug",Jira_Data!$I$2:$I$500,"&gt;="&amp;B13,Jira_Data!$I$2:$I$500,"&lt;="&amp;C13)</f>
        <v>2</v>
      </c>
    </row>
    <row r="14" customFormat="false" ht="15" hidden="false" customHeight="false" outlineLevel="0" collapsed="false">
      <c r="A14" s="17" t="s">
        <v>69</v>
      </c>
      <c r="B14" s="18" t="n">
        <f aca="false">C13+1</f>
        <v>46181</v>
      </c>
      <c r="C14" s="18" t="n">
        <f aca="false">B14+$B$3-1</f>
        <v>46194</v>
      </c>
      <c r="D14" s="17" t="n">
        <f aca="false">COUNTIF(Jira_Data!$F$2:$F$500,A14)</f>
        <v>11</v>
      </c>
      <c r="E14" s="17" t="n">
        <f aca="false">SUMIFS(Jira_Data!$E$2:$E$500,Jira_Data!$F$2:$F$500,A14)</f>
        <v>34</v>
      </c>
      <c r="F14" s="17" t="n">
        <f aca="false">COUNTIFS(Jira_Data!$I$2:$I$500,"&gt;="&amp;B14,Jira_Data!$I$2:$I$500,"&lt;="&amp;C14)</f>
        <v>12</v>
      </c>
      <c r="G14" s="17" t="n">
        <f aca="false">SUMIFS(Jira_Data!$E$2:$E$500,Jira_Data!$I$2:$I$500,"&gt;="&amp;B14,Jira_Data!$I$2:$I$500,"&lt;="&amp;C14)</f>
        <v>31</v>
      </c>
      <c r="H14" s="19" t="n">
        <f aca="false">IF(E14=0,0,G14/E14)</f>
        <v>0.911764705882353</v>
      </c>
      <c r="I14" s="20" t="n">
        <f aca="false">IFERROR(AVERAGEIFS(Jira_Data!$J$2:$J$500,Jira_Data!$I$2:$I$500,"&gt;="&amp;B14,Jira_Data!$I$2:$I$500,"&lt;="&amp;C14),0)</f>
        <v>5.41666666666667</v>
      </c>
      <c r="J14" s="17" t="n">
        <f aca="false">COUNTIFS(Jira_Data!$C$2:$C$500,"Bug",Jira_Data!$I$2:$I$500,"&gt;="&amp;B14,Jira_Data!$I$2:$I$500,"&lt;="&amp;C14)</f>
        <v>2</v>
      </c>
    </row>
    <row r="15" customFormat="false" ht="15" hidden="false" customHeight="false" outlineLevel="0" collapsed="false">
      <c r="A15" s="17" t="s">
        <v>70</v>
      </c>
      <c r="B15" s="18" t="n">
        <f aca="false">C14+1</f>
        <v>46195</v>
      </c>
      <c r="C15" s="18" t="n">
        <f aca="false">B15+$B$3-1</f>
        <v>46208</v>
      </c>
      <c r="D15" s="17" t="n">
        <f aca="false">COUNTIF(Jira_Data!$F$2:$F$500,A15)</f>
        <v>9</v>
      </c>
      <c r="E15" s="17" t="n">
        <f aca="false">SUMIFS(Jira_Data!$E$2:$E$500,Jira_Data!$F$2:$F$500,A15)</f>
        <v>34</v>
      </c>
      <c r="F15" s="17" t="n">
        <f aca="false">COUNTIFS(Jira_Data!$I$2:$I$500,"&gt;="&amp;B15,Jira_Data!$I$2:$I$500,"&lt;="&amp;C15)</f>
        <v>7</v>
      </c>
      <c r="G15" s="17" t="n">
        <f aca="false">SUMIFS(Jira_Data!$E$2:$E$500,Jira_Data!$I$2:$I$500,"&gt;="&amp;B15,Jira_Data!$I$2:$I$500,"&lt;="&amp;C15)</f>
        <v>23</v>
      </c>
      <c r="H15" s="19" t="n">
        <f aca="false">IF(E15=0,0,G15/E15)</f>
        <v>0.676470588235294</v>
      </c>
      <c r="I15" s="20" t="n">
        <f aca="false">IFERROR(AVERAGEIFS(Jira_Data!$J$2:$J$500,Jira_Data!$I$2:$I$500,"&gt;="&amp;B15,Jira_Data!$I$2:$I$500,"&lt;="&amp;C15),0)</f>
        <v>4.42857142857143</v>
      </c>
      <c r="J15" s="17" t="n">
        <f aca="false">COUNTIFS(Jira_Data!$C$2:$C$500,"Bug",Jira_Data!$I$2:$I$500,"&gt;="&amp;B15,Jira_Data!$I$2:$I$500,"&lt;="&amp;C15)</f>
        <v>1</v>
      </c>
    </row>
    <row r="16" customFormat="false" ht="15" hidden="false" customHeight="false" outlineLevel="0" collapsed="false">
      <c r="A16" s="17" t="s">
        <v>71</v>
      </c>
      <c r="B16" s="18" t="n">
        <f aca="false">C15+1</f>
        <v>46209</v>
      </c>
      <c r="C16" s="18" t="n">
        <f aca="false">B16+$B$3-1</f>
        <v>46222</v>
      </c>
      <c r="D16" s="17" t="n">
        <f aca="false">COUNTIF(Jira_Data!$F$2:$F$500,A16)</f>
        <v>11</v>
      </c>
      <c r="E16" s="17" t="n">
        <f aca="false">SUMIFS(Jira_Data!$E$2:$E$500,Jira_Data!$F$2:$F$500,A16)</f>
        <v>25</v>
      </c>
      <c r="F16" s="17" t="n">
        <f aca="false">COUNTIFS(Jira_Data!$I$2:$I$500,"&gt;="&amp;B16,Jira_Data!$I$2:$I$500,"&lt;="&amp;C16)</f>
        <v>9</v>
      </c>
      <c r="G16" s="17" t="n">
        <f aca="false">SUMIFS(Jira_Data!$E$2:$E$500,Jira_Data!$I$2:$I$500,"&gt;="&amp;B16,Jira_Data!$I$2:$I$500,"&lt;="&amp;C16)</f>
        <v>32</v>
      </c>
      <c r="H16" s="19" t="n">
        <f aca="false">IF(E16=0,0,G16/E16)</f>
        <v>1.28</v>
      </c>
      <c r="I16" s="20" t="n">
        <f aca="false">IFERROR(AVERAGEIFS(Jira_Data!$J$2:$J$500,Jira_Data!$I$2:$I$500,"&gt;="&amp;B16,Jira_Data!$I$2:$I$500,"&lt;="&amp;C16),0)</f>
        <v>7.88888888888889</v>
      </c>
      <c r="J16" s="17" t="n">
        <f aca="false">COUNTIFS(Jira_Data!$C$2:$C$500,"Bug",Jira_Data!$I$2:$I$500,"&gt;="&amp;B16,Jira_Data!$I$2:$I$500,"&lt;="&amp;C16)</f>
        <v>1</v>
      </c>
    </row>
    <row r="17" customFormat="false" ht="15" hidden="false" customHeight="false" outlineLevel="0" collapsed="false">
      <c r="A17" s="21" t="s">
        <v>72</v>
      </c>
      <c r="B17" s="21"/>
      <c r="C17" s="21"/>
      <c r="D17" s="22" t="n">
        <f aca="false">AVERAGE(D7:D16)</f>
        <v>9.6</v>
      </c>
      <c r="E17" s="22" t="n">
        <f aca="false">AVERAGE(E7:E16)</f>
        <v>24.8</v>
      </c>
      <c r="F17" s="22" t="n">
        <f aca="false">AVERAGE(F7:F16)</f>
        <v>9</v>
      </c>
      <c r="G17" s="22" t="n">
        <f aca="false">AVERAGE(G7:G16)</f>
        <v>23.1</v>
      </c>
      <c r="H17" s="23" t="n">
        <f aca="false">AVERAGE(H7:H16)</f>
        <v>0.961998312775403</v>
      </c>
      <c r="I17" s="22" t="n">
        <f aca="false">AVERAGE(I7:I16)</f>
        <v>5.35640331890332</v>
      </c>
      <c r="J17" s="22" t="n">
        <f aca="false">AVERAGE(J7:J16)</f>
        <v>2</v>
      </c>
    </row>
    <row r="19" customFormat="false" ht="15" hidden="false" customHeight="false" outlineLevel="0" collapsed="false">
      <c r="A19" s="2"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4" min="2" style="0" width="22"/>
  </cols>
  <sheetData>
    <row r="1" customFormat="false" ht="22.05" hidden="false" customHeight="false" outlineLevel="0" collapsed="false">
      <c r="A1" s="1" t="s">
        <v>74</v>
      </c>
    </row>
    <row r="2" customFormat="false" ht="15" hidden="false" customHeight="false" outlineLevel="0" collapsed="false">
      <c r="A2" s="2" t="s">
        <v>75</v>
      </c>
    </row>
    <row r="3" customFormat="false" ht="15" hidden="false" customHeight="false" outlineLevel="0" collapsed="false">
      <c r="A3" s="13" t="s">
        <v>76</v>
      </c>
      <c r="B3" s="17" t="n">
        <f aca="false">COUNTA(Jira_Data!$A$2:$A$500)-COUNTIF(Jira_Data!$D$2:$D$500,"Done")</f>
        <v>24</v>
      </c>
    </row>
    <row r="4" customFormat="false" ht="15" hidden="false" customHeight="false" outlineLevel="0" collapsed="false">
      <c r="A4" s="13" t="s">
        <v>77</v>
      </c>
      <c r="B4" s="14"/>
    </row>
    <row r="5" customFormat="false" ht="15" hidden="false" customHeight="false" outlineLevel="0" collapsed="false">
      <c r="A5" s="13" t="s">
        <v>78</v>
      </c>
      <c r="B5" s="17" t="n">
        <f aca="false">IF(B4&lt;&gt;"",B4,B3)</f>
        <v>24</v>
      </c>
    </row>
    <row r="6" customFormat="false" ht="15" hidden="false" customHeight="false" outlineLevel="0" collapsed="false">
      <c r="A6" s="13" t="s">
        <v>79</v>
      </c>
      <c r="B6" s="24" t="n">
        <v>0.85</v>
      </c>
    </row>
    <row r="7" customFormat="false" ht="15" hidden="false" customHeight="false" outlineLevel="0" collapsed="false">
      <c r="A7" s="13" t="s">
        <v>80</v>
      </c>
      <c r="B7" s="18" t="n">
        <f aca="false">Sprint_Metrics!C16+1</f>
        <v>46223</v>
      </c>
    </row>
    <row r="8" customFormat="false" ht="15" hidden="false" customHeight="false" outlineLevel="0" collapsed="false">
      <c r="A8" s="13" t="s">
        <v>51</v>
      </c>
      <c r="B8" s="17" t="n">
        <f aca="false">Sprint_Metrics!B3</f>
        <v>14</v>
      </c>
    </row>
    <row r="9" customFormat="false" ht="15" hidden="false" customHeight="false" outlineLevel="0" collapsed="false">
      <c r="A9" s="13" t="s">
        <v>81</v>
      </c>
      <c r="B9" s="17" t="n">
        <f aca="false">COUNT(Simulation!A2:A501)</f>
        <v>500</v>
      </c>
    </row>
    <row r="12" customFormat="false" ht="30" hidden="false" customHeight="true" outlineLevel="0" collapsed="false">
      <c r="A12" s="16" t="s">
        <v>82</v>
      </c>
      <c r="B12" s="16" t="s">
        <v>83</v>
      </c>
      <c r="C12" s="16" t="s">
        <v>84</v>
      </c>
      <c r="D12" s="16" t="s">
        <v>85</v>
      </c>
    </row>
    <row r="13" customFormat="false" ht="15" hidden="false" customHeight="false" outlineLevel="0" collapsed="false">
      <c r="A13" s="25" t="n">
        <v>1</v>
      </c>
      <c r="B13" s="26" t="n">
        <f aca="false">COUNTIF(Simulation!$J$2:$J$501,"&gt;="&amp;$B$5)/$B$9</f>
        <v>0</v>
      </c>
      <c r="C13" s="25" t="str">
        <f aca="false">IF(B13&gt;=$B$6,"Yes","No")</f>
        <v>No</v>
      </c>
      <c r="D13" s="27" t="n">
        <f aca="false">$B$7+A13*$B$8-1</f>
        <v>46236</v>
      </c>
    </row>
    <row r="14" customFormat="false" ht="15" hidden="false" customHeight="false" outlineLevel="0" collapsed="false">
      <c r="A14" s="25" t="n">
        <v>2</v>
      </c>
      <c r="B14" s="26" t="n">
        <f aca="false">COUNTIF(Simulation!$K$2:$K$501,"&gt;="&amp;$B$5)/$B$9</f>
        <v>0.014</v>
      </c>
      <c r="C14" s="25" t="str">
        <f aca="false">IF(B14&gt;=$B$6,"Yes","No")</f>
        <v>No</v>
      </c>
      <c r="D14" s="27" t="n">
        <f aca="false">$B$7+A14*$B$8-1</f>
        <v>46250</v>
      </c>
    </row>
    <row r="15" customFormat="false" ht="15" hidden="false" customHeight="false" outlineLevel="0" collapsed="false">
      <c r="A15" s="25" t="n">
        <v>3</v>
      </c>
      <c r="B15" s="26" t="n">
        <f aca="false">COUNTIF(Simulation!$L$2:$L$501,"&gt;="&amp;$B$5)/$B$9</f>
        <v>0.862</v>
      </c>
      <c r="C15" s="25" t="str">
        <f aca="false">IF(B15&gt;=$B$6,"Yes","No")</f>
        <v>Yes</v>
      </c>
      <c r="D15" s="27" t="n">
        <f aca="false">$B$7+A15*$B$8-1</f>
        <v>46264</v>
      </c>
    </row>
    <row r="16" customFormat="false" ht="15" hidden="false" customHeight="false" outlineLevel="0" collapsed="false">
      <c r="A16" s="25" t="n">
        <v>4</v>
      </c>
      <c r="B16" s="26" t="n">
        <f aca="false">COUNTIF(Simulation!$M$2:$M$501,"&gt;="&amp;$B$5)/$B$9</f>
        <v>1</v>
      </c>
      <c r="C16" s="25" t="str">
        <f aca="false">IF(B16&gt;=$B$6,"Yes","No")</f>
        <v>Yes</v>
      </c>
      <c r="D16" s="27" t="n">
        <f aca="false">$B$7+A16*$B$8-1</f>
        <v>46278</v>
      </c>
    </row>
    <row r="17" customFormat="false" ht="15" hidden="false" customHeight="false" outlineLevel="0" collapsed="false">
      <c r="A17" s="25" t="n">
        <v>5</v>
      </c>
      <c r="B17" s="26" t="n">
        <f aca="false">COUNTIF(Simulation!$N$2:$N$501,"&gt;="&amp;$B$5)/$B$9</f>
        <v>1</v>
      </c>
      <c r="C17" s="25" t="str">
        <f aca="false">IF(B17&gt;=$B$6,"Yes","No")</f>
        <v>Yes</v>
      </c>
      <c r="D17" s="27" t="n">
        <f aca="false">$B$7+A17*$B$8-1</f>
        <v>46292</v>
      </c>
    </row>
    <row r="18" customFormat="false" ht="15" hidden="false" customHeight="false" outlineLevel="0" collapsed="false">
      <c r="A18" s="25" t="n">
        <v>6</v>
      </c>
      <c r="B18" s="26" t="n">
        <f aca="false">COUNTIF(Simulation!$O$2:$O$501,"&gt;="&amp;$B$5)/$B$9</f>
        <v>1</v>
      </c>
      <c r="C18" s="25" t="str">
        <f aca="false">IF(B18&gt;=$B$6,"Yes","No")</f>
        <v>Yes</v>
      </c>
      <c r="D18" s="27" t="n">
        <f aca="false">$B$7+A18*$B$8-1</f>
        <v>46306</v>
      </c>
    </row>
    <row r="19" customFormat="false" ht="15" hidden="false" customHeight="false" outlineLevel="0" collapsed="false">
      <c r="A19" s="25" t="n">
        <v>7</v>
      </c>
      <c r="B19" s="26" t="n">
        <f aca="false">COUNTIF(Simulation!$P$2:$P$501,"&gt;="&amp;$B$5)/$B$9</f>
        <v>1</v>
      </c>
      <c r="C19" s="25" t="str">
        <f aca="false">IF(B19&gt;=$B$6,"Yes","No")</f>
        <v>Yes</v>
      </c>
      <c r="D19" s="27" t="n">
        <f aca="false">$B$7+A19*$B$8-1</f>
        <v>46320</v>
      </c>
    </row>
    <row r="20" customFormat="false" ht="15" hidden="false" customHeight="false" outlineLevel="0" collapsed="false">
      <c r="A20" s="25" t="n">
        <v>8</v>
      </c>
      <c r="B20" s="26" t="n">
        <f aca="false">COUNTIF(Simulation!$Q$2:$Q$501,"&gt;="&amp;$B$5)/$B$9</f>
        <v>1</v>
      </c>
      <c r="C20" s="25" t="str">
        <f aca="false">IF(B20&gt;=$B$6,"Yes","No")</f>
        <v>Yes</v>
      </c>
      <c r="D20" s="27" t="n">
        <f aca="false">$B$7+A20*$B$8-1</f>
        <v>46334</v>
      </c>
    </row>
    <row r="22" customFormat="false" ht="15" hidden="false" customHeight="false" outlineLevel="0" collapsed="false">
      <c r="A22" s="13" t="s">
        <v>86</v>
      </c>
      <c r="B22" s="21" t="n">
        <f aca="false">IF(COUNTIF(C13:C20,"Yes")=0,"&gt;8",MATCH("Yes",C13:C20,0))</f>
        <v>3</v>
      </c>
    </row>
    <row r="23" customFormat="false" ht="15" hidden="false" customHeight="false" outlineLevel="0" collapsed="false">
      <c r="A23" s="13" t="s">
        <v>87</v>
      </c>
      <c r="B23" s="28" t="n">
        <f aca="false">IF(COUNTIF(C13:C20,"Yes")=0,"Beyond 8 sprints",INDEX(D13:D20,MATCH("Yes",C13:C20,0)))</f>
        <v>46264</v>
      </c>
    </row>
    <row r="25" customFormat="false" ht="15" hidden="false" customHeight="false" outlineLevel="0" collapsed="false">
      <c r="A25" s="2"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7" min="1" style="0" width="11"/>
  </cols>
  <sheetData>
    <row r="1" customFormat="false" ht="30" hidden="false" customHeight="true" outlineLevel="0" collapsed="false">
      <c r="A1" s="16" t="s">
        <v>89</v>
      </c>
      <c r="B1" s="16" t="s">
        <v>90</v>
      </c>
      <c r="C1" s="16" t="s">
        <v>91</v>
      </c>
      <c r="D1" s="16" t="s">
        <v>92</v>
      </c>
      <c r="E1" s="16" t="s">
        <v>93</v>
      </c>
      <c r="F1" s="16" t="s">
        <v>94</v>
      </c>
      <c r="G1" s="16" t="s">
        <v>95</v>
      </c>
      <c r="H1" s="16" t="s">
        <v>96</v>
      </c>
      <c r="I1" s="16" t="s">
        <v>97</v>
      </c>
      <c r="J1" s="16" t="s">
        <v>98</v>
      </c>
      <c r="K1" s="16" t="s">
        <v>99</v>
      </c>
      <c r="L1" s="16" t="s">
        <v>100</v>
      </c>
      <c r="M1" s="16" t="s">
        <v>101</v>
      </c>
      <c r="N1" s="16" t="s">
        <v>102</v>
      </c>
      <c r="O1" s="16" t="s">
        <v>103</v>
      </c>
      <c r="P1" s="16" t="s">
        <v>104</v>
      </c>
      <c r="Q1" s="16" t="s">
        <v>105</v>
      </c>
    </row>
    <row r="2" customFormat="false" ht="15" hidden="false" customHeight="false" outlineLevel="0" collapsed="false">
      <c r="A2" s="29" t="n">
        <v>1</v>
      </c>
      <c r="B2" s="29" t="n">
        <f aca="false">INDEX(Sprint_Metrics!$F$7:$F$16,RANDBETWEEN(1,ROWS(Sprint_Metrics!$F$7:$F$16)))</f>
        <v>8</v>
      </c>
      <c r="C2" s="29" t="n">
        <f aca="false">INDEX(Sprint_Metrics!$F$7:$F$16,RANDBETWEEN(1,ROWS(Sprint_Metrics!$F$7:$F$16)))</f>
        <v>9</v>
      </c>
      <c r="D2" s="29" t="n">
        <f aca="false">INDEX(Sprint_Metrics!$F$7:$F$16,RANDBETWEEN(1,ROWS(Sprint_Metrics!$F$7:$F$16)))</f>
        <v>11</v>
      </c>
      <c r="E2" s="29" t="n">
        <f aca="false">INDEX(Sprint_Metrics!$F$7:$F$16,RANDBETWEEN(1,ROWS(Sprint_Metrics!$F$7:$F$16)))</f>
        <v>8</v>
      </c>
      <c r="F2" s="29" t="n">
        <f aca="false">INDEX(Sprint_Metrics!$F$7:$F$16,RANDBETWEEN(1,ROWS(Sprint_Metrics!$F$7:$F$16)))</f>
        <v>11</v>
      </c>
      <c r="G2" s="29" t="n">
        <f aca="false">INDEX(Sprint_Metrics!$F$7:$F$16,RANDBETWEEN(1,ROWS(Sprint_Metrics!$F$7:$F$16)))</f>
        <v>7</v>
      </c>
      <c r="H2" s="29" t="n">
        <f aca="false">INDEX(Sprint_Metrics!$F$7:$F$16,RANDBETWEEN(1,ROWS(Sprint_Metrics!$F$7:$F$16)))</f>
        <v>7</v>
      </c>
      <c r="I2" s="29" t="n">
        <f aca="false">INDEX(Sprint_Metrics!$F$7:$F$16,RANDBETWEEN(1,ROWS(Sprint_Metrics!$F$7:$F$16)))</f>
        <v>7</v>
      </c>
      <c r="J2" s="29" t="n">
        <f aca="false">B2</f>
        <v>8</v>
      </c>
      <c r="K2" s="29" t="n">
        <f aca="false">J2+C2</f>
        <v>17</v>
      </c>
      <c r="L2" s="29" t="n">
        <f aca="false">K2+D2</f>
        <v>28</v>
      </c>
      <c r="M2" s="29" t="n">
        <f aca="false">L2+E2</f>
        <v>36</v>
      </c>
      <c r="N2" s="29" t="n">
        <f aca="false">M2+F2</f>
        <v>47</v>
      </c>
      <c r="O2" s="29" t="n">
        <f aca="false">N2+G2</f>
        <v>54</v>
      </c>
      <c r="P2" s="29" t="n">
        <f aca="false">O2+H2</f>
        <v>61</v>
      </c>
      <c r="Q2" s="29" t="n">
        <f aca="false">P2+I2</f>
        <v>68</v>
      </c>
    </row>
    <row r="3" customFormat="false" ht="15" hidden="false" customHeight="false" outlineLevel="0" collapsed="false">
      <c r="A3" s="29" t="n">
        <v>2</v>
      </c>
      <c r="B3" s="29" t="n">
        <f aca="false">INDEX(Sprint_Metrics!$F$7:$F$16,RANDBETWEEN(1,ROWS(Sprint_Metrics!$F$7:$F$16)))</f>
        <v>11</v>
      </c>
      <c r="C3" s="29" t="n">
        <f aca="false">INDEX(Sprint_Metrics!$F$7:$F$16,RANDBETWEEN(1,ROWS(Sprint_Metrics!$F$7:$F$16)))</f>
        <v>8</v>
      </c>
      <c r="D3" s="29" t="n">
        <f aca="false">INDEX(Sprint_Metrics!$F$7:$F$16,RANDBETWEEN(1,ROWS(Sprint_Metrics!$F$7:$F$16)))</f>
        <v>9</v>
      </c>
      <c r="E3" s="29" t="n">
        <f aca="false">INDEX(Sprint_Metrics!$F$7:$F$16,RANDBETWEEN(1,ROWS(Sprint_Metrics!$F$7:$F$16)))</f>
        <v>11</v>
      </c>
      <c r="F3" s="29" t="n">
        <f aca="false">INDEX(Sprint_Metrics!$F$7:$F$16,RANDBETWEEN(1,ROWS(Sprint_Metrics!$F$7:$F$16)))</f>
        <v>8</v>
      </c>
      <c r="G3" s="29" t="n">
        <f aca="false">INDEX(Sprint_Metrics!$F$7:$F$16,RANDBETWEEN(1,ROWS(Sprint_Metrics!$F$7:$F$16)))</f>
        <v>11</v>
      </c>
      <c r="H3" s="29" t="n">
        <f aca="false">INDEX(Sprint_Metrics!$F$7:$F$16,RANDBETWEEN(1,ROWS(Sprint_Metrics!$F$7:$F$16)))</f>
        <v>7</v>
      </c>
      <c r="I3" s="29" t="n">
        <f aca="false">INDEX(Sprint_Metrics!$F$7:$F$16,RANDBETWEEN(1,ROWS(Sprint_Metrics!$F$7:$F$16)))</f>
        <v>12</v>
      </c>
      <c r="J3" s="29" t="n">
        <f aca="false">B3</f>
        <v>11</v>
      </c>
      <c r="K3" s="29" t="n">
        <f aca="false">J3+C3</f>
        <v>19</v>
      </c>
      <c r="L3" s="29" t="n">
        <f aca="false">K3+D3</f>
        <v>28</v>
      </c>
      <c r="M3" s="29" t="n">
        <f aca="false">L3+E3</f>
        <v>39</v>
      </c>
      <c r="N3" s="29" t="n">
        <f aca="false">M3+F3</f>
        <v>47</v>
      </c>
      <c r="O3" s="29" t="n">
        <f aca="false">N3+G3</f>
        <v>58</v>
      </c>
      <c r="P3" s="29" t="n">
        <f aca="false">O3+H3</f>
        <v>65</v>
      </c>
      <c r="Q3" s="29" t="n">
        <f aca="false">P3+I3</f>
        <v>77</v>
      </c>
    </row>
    <row r="4" customFormat="false" ht="15" hidden="false" customHeight="false" outlineLevel="0" collapsed="false">
      <c r="A4" s="29" t="n">
        <v>3</v>
      </c>
      <c r="B4" s="29" t="n">
        <f aca="false">INDEX(Sprint_Metrics!$F$7:$F$16,RANDBETWEEN(1,ROWS(Sprint_Metrics!$F$7:$F$16)))</f>
        <v>11</v>
      </c>
      <c r="C4" s="29" t="n">
        <f aca="false">INDEX(Sprint_Metrics!$F$7:$F$16,RANDBETWEEN(1,ROWS(Sprint_Metrics!$F$7:$F$16)))</f>
        <v>11</v>
      </c>
      <c r="D4" s="29" t="n">
        <f aca="false">INDEX(Sprint_Metrics!$F$7:$F$16,RANDBETWEEN(1,ROWS(Sprint_Metrics!$F$7:$F$16)))</f>
        <v>7</v>
      </c>
      <c r="E4" s="29" t="n">
        <f aca="false">INDEX(Sprint_Metrics!$F$7:$F$16,RANDBETWEEN(1,ROWS(Sprint_Metrics!$F$7:$F$16)))</f>
        <v>8</v>
      </c>
      <c r="F4" s="29" t="n">
        <f aca="false">INDEX(Sprint_Metrics!$F$7:$F$16,RANDBETWEEN(1,ROWS(Sprint_Metrics!$F$7:$F$16)))</f>
        <v>12</v>
      </c>
      <c r="G4" s="29" t="n">
        <f aca="false">INDEX(Sprint_Metrics!$F$7:$F$16,RANDBETWEEN(1,ROWS(Sprint_Metrics!$F$7:$F$16)))</f>
        <v>9</v>
      </c>
      <c r="H4" s="29" t="n">
        <f aca="false">INDEX(Sprint_Metrics!$F$7:$F$16,RANDBETWEEN(1,ROWS(Sprint_Metrics!$F$7:$F$16)))</f>
        <v>8</v>
      </c>
      <c r="I4" s="29" t="n">
        <f aca="false">INDEX(Sprint_Metrics!$F$7:$F$16,RANDBETWEEN(1,ROWS(Sprint_Metrics!$F$7:$F$16)))</f>
        <v>8</v>
      </c>
      <c r="J4" s="29" t="n">
        <f aca="false">B4</f>
        <v>11</v>
      </c>
      <c r="K4" s="29" t="n">
        <f aca="false">J4+C4</f>
        <v>22</v>
      </c>
      <c r="L4" s="29" t="n">
        <f aca="false">K4+D4</f>
        <v>29</v>
      </c>
      <c r="M4" s="29" t="n">
        <f aca="false">L4+E4</f>
        <v>37</v>
      </c>
      <c r="N4" s="29" t="n">
        <f aca="false">M4+F4</f>
        <v>49</v>
      </c>
      <c r="O4" s="29" t="n">
        <f aca="false">N4+G4</f>
        <v>58</v>
      </c>
      <c r="P4" s="29" t="n">
        <f aca="false">O4+H4</f>
        <v>66</v>
      </c>
      <c r="Q4" s="29" t="n">
        <f aca="false">P4+I4</f>
        <v>74</v>
      </c>
    </row>
    <row r="5" customFormat="false" ht="15" hidden="false" customHeight="false" outlineLevel="0" collapsed="false">
      <c r="A5" s="29" t="n">
        <v>4</v>
      </c>
      <c r="B5" s="29" t="n">
        <f aca="false">INDEX(Sprint_Metrics!$F$7:$F$16,RANDBETWEEN(1,ROWS(Sprint_Metrics!$F$7:$F$16)))</f>
        <v>9</v>
      </c>
      <c r="C5" s="29" t="n">
        <f aca="false">INDEX(Sprint_Metrics!$F$7:$F$16,RANDBETWEEN(1,ROWS(Sprint_Metrics!$F$7:$F$16)))</f>
        <v>8</v>
      </c>
      <c r="D5" s="29" t="n">
        <f aca="false">INDEX(Sprint_Metrics!$F$7:$F$16,RANDBETWEEN(1,ROWS(Sprint_Metrics!$F$7:$F$16)))</f>
        <v>9</v>
      </c>
      <c r="E5" s="29" t="n">
        <f aca="false">INDEX(Sprint_Metrics!$F$7:$F$16,RANDBETWEEN(1,ROWS(Sprint_Metrics!$F$7:$F$16)))</f>
        <v>8</v>
      </c>
      <c r="F5" s="29" t="n">
        <f aca="false">INDEX(Sprint_Metrics!$F$7:$F$16,RANDBETWEEN(1,ROWS(Sprint_Metrics!$F$7:$F$16)))</f>
        <v>8</v>
      </c>
      <c r="G5" s="29" t="n">
        <f aca="false">INDEX(Sprint_Metrics!$F$7:$F$16,RANDBETWEEN(1,ROWS(Sprint_Metrics!$F$7:$F$16)))</f>
        <v>8</v>
      </c>
      <c r="H5" s="29" t="n">
        <f aca="false">INDEX(Sprint_Metrics!$F$7:$F$16,RANDBETWEEN(1,ROWS(Sprint_Metrics!$F$7:$F$16)))</f>
        <v>11</v>
      </c>
      <c r="I5" s="29" t="n">
        <f aca="false">INDEX(Sprint_Metrics!$F$7:$F$16,RANDBETWEEN(1,ROWS(Sprint_Metrics!$F$7:$F$16)))</f>
        <v>9</v>
      </c>
      <c r="J5" s="29" t="n">
        <f aca="false">B5</f>
        <v>9</v>
      </c>
      <c r="K5" s="29" t="n">
        <f aca="false">J5+C5</f>
        <v>17</v>
      </c>
      <c r="L5" s="29" t="n">
        <f aca="false">K5+D5</f>
        <v>26</v>
      </c>
      <c r="M5" s="29" t="n">
        <f aca="false">L5+E5</f>
        <v>34</v>
      </c>
      <c r="N5" s="29" t="n">
        <f aca="false">M5+F5</f>
        <v>42</v>
      </c>
      <c r="O5" s="29" t="n">
        <f aca="false">N5+G5</f>
        <v>50</v>
      </c>
      <c r="P5" s="29" t="n">
        <f aca="false">O5+H5</f>
        <v>61</v>
      </c>
      <c r="Q5" s="29" t="n">
        <f aca="false">P5+I5</f>
        <v>70</v>
      </c>
    </row>
    <row r="6" customFormat="false" ht="15" hidden="false" customHeight="false" outlineLevel="0" collapsed="false">
      <c r="A6" s="29" t="n">
        <v>5</v>
      </c>
      <c r="B6" s="29" t="n">
        <f aca="false">INDEX(Sprint_Metrics!$F$7:$F$16,RANDBETWEEN(1,ROWS(Sprint_Metrics!$F$7:$F$16)))</f>
        <v>8</v>
      </c>
      <c r="C6" s="29" t="n">
        <f aca="false">INDEX(Sprint_Metrics!$F$7:$F$16,RANDBETWEEN(1,ROWS(Sprint_Metrics!$F$7:$F$16)))</f>
        <v>12</v>
      </c>
      <c r="D6" s="29" t="n">
        <f aca="false">INDEX(Sprint_Metrics!$F$7:$F$16,RANDBETWEEN(1,ROWS(Sprint_Metrics!$F$7:$F$16)))</f>
        <v>9</v>
      </c>
      <c r="E6" s="29" t="n">
        <f aca="false">INDEX(Sprint_Metrics!$F$7:$F$16,RANDBETWEEN(1,ROWS(Sprint_Metrics!$F$7:$F$16)))</f>
        <v>12</v>
      </c>
      <c r="F6" s="29" t="n">
        <f aca="false">INDEX(Sprint_Metrics!$F$7:$F$16,RANDBETWEEN(1,ROWS(Sprint_Metrics!$F$7:$F$16)))</f>
        <v>7</v>
      </c>
      <c r="G6" s="29" t="n">
        <f aca="false">INDEX(Sprint_Metrics!$F$7:$F$16,RANDBETWEEN(1,ROWS(Sprint_Metrics!$F$7:$F$16)))</f>
        <v>12</v>
      </c>
      <c r="H6" s="29" t="n">
        <f aca="false">INDEX(Sprint_Metrics!$F$7:$F$16,RANDBETWEEN(1,ROWS(Sprint_Metrics!$F$7:$F$16)))</f>
        <v>7</v>
      </c>
      <c r="I6" s="29" t="n">
        <f aca="false">INDEX(Sprint_Metrics!$F$7:$F$16,RANDBETWEEN(1,ROWS(Sprint_Metrics!$F$7:$F$16)))</f>
        <v>11</v>
      </c>
      <c r="J6" s="29" t="n">
        <f aca="false">B6</f>
        <v>8</v>
      </c>
      <c r="K6" s="29" t="n">
        <f aca="false">J6+C6</f>
        <v>20</v>
      </c>
      <c r="L6" s="29" t="n">
        <f aca="false">K6+D6</f>
        <v>29</v>
      </c>
      <c r="M6" s="29" t="n">
        <f aca="false">L6+E6</f>
        <v>41</v>
      </c>
      <c r="N6" s="29" t="n">
        <f aca="false">M6+F6</f>
        <v>48</v>
      </c>
      <c r="O6" s="29" t="n">
        <f aca="false">N6+G6</f>
        <v>60</v>
      </c>
      <c r="P6" s="29" t="n">
        <f aca="false">O6+H6</f>
        <v>67</v>
      </c>
      <c r="Q6" s="29" t="n">
        <f aca="false">P6+I6</f>
        <v>78</v>
      </c>
    </row>
    <row r="7" customFormat="false" ht="15" hidden="false" customHeight="false" outlineLevel="0" collapsed="false">
      <c r="A7" s="29" t="n">
        <v>6</v>
      </c>
      <c r="B7" s="29" t="n">
        <f aca="false">INDEX(Sprint_Metrics!$F$7:$F$16,RANDBETWEEN(1,ROWS(Sprint_Metrics!$F$7:$F$16)))</f>
        <v>12</v>
      </c>
      <c r="C7" s="29" t="n">
        <f aca="false">INDEX(Sprint_Metrics!$F$7:$F$16,RANDBETWEEN(1,ROWS(Sprint_Metrics!$F$7:$F$16)))</f>
        <v>7</v>
      </c>
      <c r="D7" s="29" t="n">
        <f aca="false">INDEX(Sprint_Metrics!$F$7:$F$16,RANDBETWEEN(1,ROWS(Sprint_Metrics!$F$7:$F$16)))</f>
        <v>11</v>
      </c>
      <c r="E7" s="29" t="n">
        <f aca="false">INDEX(Sprint_Metrics!$F$7:$F$16,RANDBETWEEN(1,ROWS(Sprint_Metrics!$F$7:$F$16)))</f>
        <v>7</v>
      </c>
      <c r="F7" s="29" t="n">
        <f aca="false">INDEX(Sprint_Metrics!$F$7:$F$16,RANDBETWEEN(1,ROWS(Sprint_Metrics!$F$7:$F$16)))</f>
        <v>8</v>
      </c>
      <c r="G7" s="29" t="n">
        <f aca="false">INDEX(Sprint_Metrics!$F$7:$F$16,RANDBETWEEN(1,ROWS(Sprint_Metrics!$F$7:$F$16)))</f>
        <v>11</v>
      </c>
      <c r="H7" s="29" t="n">
        <f aca="false">INDEX(Sprint_Metrics!$F$7:$F$16,RANDBETWEEN(1,ROWS(Sprint_Metrics!$F$7:$F$16)))</f>
        <v>9</v>
      </c>
      <c r="I7" s="29" t="n">
        <f aca="false">INDEX(Sprint_Metrics!$F$7:$F$16,RANDBETWEEN(1,ROWS(Sprint_Metrics!$F$7:$F$16)))</f>
        <v>12</v>
      </c>
      <c r="J7" s="29" t="n">
        <f aca="false">B7</f>
        <v>12</v>
      </c>
      <c r="K7" s="29" t="n">
        <f aca="false">J7+C7</f>
        <v>19</v>
      </c>
      <c r="L7" s="29" t="n">
        <f aca="false">K7+D7</f>
        <v>30</v>
      </c>
      <c r="M7" s="29" t="n">
        <f aca="false">L7+E7</f>
        <v>37</v>
      </c>
      <c r="N7" s="29" t="n">
        <f aca="false">M7+F7</f>
        <v>45</v>
      </c>
      <c r="O7" s="29" t="n">
        <f aca="false">N7+G7</f>
        <v>56</v>
      </c>
      <c r="P7" s="29" t="n">
        <f aca="false">O7+H7</f>
        <v>65</v>
      </c>
      <c r="Q7" s="29" t="n">
        <f aca="false">P7+I7</f>
        <v>77</v>
      </c>
    </row>
    <row r="8" customFormat="false" ht="15" hidden="false" customHeight="false" outlineLevel="0" collapsed="false">
      <c r="A8" s="29" t="n">
        <v>7</v>
      </c>
      <c r="B8" s="29" t="n">
        <f aca="false">INDEX(Sprint_Metrics!$F$7:$F$16,RANDBETWEEN(1,ROWS(Sprint_Metrics!$F$7:$F$16)))</f>
        <v>12</v>
      </c>
      <c r="C8" s="29" t="n">
        <f aca="false">INDEX(Sprint_Metrics!$F$7:$F$16,RANDBETWEEN(1,ROWS(Sprint_Metrics!$F$7:$F$16)))</f>
        <v>11</v>
      </c>
      <c r="D8" s="29" t="n">
        <f aca="false">INDEX(Sprint_Metrics!$F$7:$F$16,RANDBETWEEN(1,ROWS(Sprint_Metrics!$F$7:$F$16)))</f>
        <v>9</v>
      </c>
      <c r="E8" s="29" t="n">
        <f aca="false">INDEX(Sprint_Metrics!$F$7:$F$16,RANDBETWEEN(1,ROWS(Sprint_Metrics!$F$7:$F$16)))</f>
        <v>8</v>
      </c>
      <c r="F8" s="29" t="n">
        <f aca="false">INDEX(Sprint_Metrics!$F$7:$F$16,RANDBETWEEN(1,ROWS(Sprint_Metrics!$F$7:$F$16)))</f>
        <v>11</v>
      </c>
      <c r="G8" s="29" t="n">
        <f aca="false">INDEX(Sprint_Metrics!$F$7:$F$16,RANDBETWEEN(1,ROWS(Sprint_Metrics!$F$7:$F$16)))</f>
        <v>8</v>
      </c>
      <c r="H8" s="29" t="n">
        <f aca="false">INDEX(Sprint_Metrics!$F$7:$F$16,RANDBETWEEN(1,ROWS(Sprint_Metrics!$F$7:$F$16)))</f>
        <v>9</v>
      </c>
      <c r="I8" s="29" t="n">
        <f aca="false">INDEX(Sprint_Metrics!$F$7:$F$16,RANDBETWEEN(1,ROWS(Sprint_Metrics!$F$7:$F$16)))</f>
        <v>9</v>
      </c>
      <c r="J8" s="29" t="n">
        <f aca="false">B8</f>
        <v>12</v>
      </c>
      <c r="K8" s="29" t="n">
        <f aca="false">J8+C8</f>
        <v>23</v>
      </c>
      <c r="L8" s="29" t="n">
        <f aca="false">K8+D8</f>
        <v>32</v>
      </c>
      <c r="M8" s="29" t="n">
        <f aca="false">L8+E8</f>
        <v>40</v>
      </c>
      <c r="N8" s="29" t="n">
        <f aca="false">M8+F8</f>
        <v>51</v>
      </c>
      <c r="O8" s="29" t="n">
        <f aca="false">N8+G8</f>
        <v>59</v>
      </c>
      <c r="P8" s="29" t="n">
        <f aca="false">O8+H8</f>
        <v>68</v>
      </c>
      <c r="Q8" s="29" t="n">
        <f aca="false">P8+I8</f>
        <v>77</v>
      </c>
    </row>
    <row r="9" customFormat="false" ht="15" hidden="false" customHeight="false" outlineLevel="0" collapsed="false">
      <c r="A9" s="29" t="n">
        <v>8</v>
      </c>
      <c r="B9" s="29" t="n">
        <f aca="false">INDEX(Sprint_Metrics!$F$7:$F$16,RANDBETWEEN(1,ROWS(Sprint_Metrics!$F$7:$F$16)))</f>
        <v>11</v>
      </c>
      <c r="C9" s="29" t="n">
        <f aca="false">INDEX(Sprint_Metrics!$F$7:$F$16,RANDBETWEEN(1,ROWS(Sprint_Metrics!$F$7:$F$16)))</f>
        <v>12</v>
      </c>
      <c r="D9" s="29" t="n">
        <f aca="false">INDEX(Sprint_Metrics!$F$7:$F$16,RANDBETWEEN(1,ROWS(Sprint_Metrics!$F$7:$F$16)))</f>
        <v>12</v>
      </c>
      <c r="E9" s="29" t="n">
        <f aca="false">INDEX(Sprint_Metrics!$F$7:$F$16,RANDBETWEEN(1,ROWS(Sprint_Metrics!$F$7:$F$16)))</f>
        <v>7</v>
      </c>
      <c r="F9" s="29" t="n">
        <f aca="false">INDEX(Sprint_Metrics!$F$7:$F$16,RANDBETWEEN(1,ROWS(Sprint_Metrics!$F$7:$F$16)))</f>
        <v>7</v>
      </c>
      <c r="G9" s="29" t="n">
        <f aca="false">INDEX(Sprint_Metrics!$F$7:$F$16,RANDBETWEEN(1,ROWS(Sprint_Metrics!$F$7:$F$16)))</f>
        <v>7</v>
      </c>
      <c r="H9" s="29" t="n">
        <f aca="false">INDEX(Sprint_Metrics!$F$7:$F$16,RANDBETWEEN(1,ROWS(Sprint_Metrics!$F$7:$F$16)))</f>
        <v>11</v>
      </c>
      <c r="I9" s="29" t="n">
        <f aca="false">INDEX(Sprint_Metrics!$F$7:$F$16,RANDBETWEEN(1,ROWS(Sprint_Metrics!$F$7:$F$16)))</f>
        <v>8</v>
      </c>
      <c r="J9" s="29" t="n">
        <f aca="false">B9</f>
        <v>11</v>
      </c>
      <c r="K9" s="29" t="n">
        <f aca="false">J9+C9</f>
        <v>23</v>
      </c>
      <c r="L9" s="29" t="n">
        <f aca="false">K9+D9</f>
        <v>35</v>
      </c>
      <c r="M9" s="29" t="n">
        <f aca="false">L9+E9</f>
        <v>42</v>
      </c>
      <c r="N9" s="29" t="n">
        <f aca="false">M9+F9</f>
        <v>49</v>
      </c>
      <c r="O9" s="29" t="n">
        <f aca="false">N9+G9</f>
        <v>56</v>
      </c>
      <c r="P9" s="29" t="n">
        <f aca="false">O9+H9</f>
        <v>67</v>
      </c>
      <c r="Q9" s="29" t="n">
        <f aca="false">P9+I9</f>
        <v>75</v>
      </c>
    </row>
    <row r="10" customFormat="false" ht="15" hidden="false" customHeight="false" outlineLevel="0" collapsed="false">
      <c r="A10" s="29" t="n">
        <v>9</v>
      </c>
      <c r="B10" s="29" t="n">
        <f aca="false">INDEX(Sprint_Metrics!$F$7:$F$16,RANDBETWEEN(1,ROWS(Sprint_Metrics!$F$7:$F$16)))</f>
        <v>11</v>
      </c>
      <c r="C10" s="29" t="n">
        <f aca="false">INDEX(Sprint_Metrics!$F$7:$F$16,RANDBETWEEN(1,ROWS(Sprint_Metrics!$F$7:$F$16)))</f>
        <v>9</v>
      </c>
      <c r="D10" s="29" t="n">
        <f aca="false">INDEX(Sprint_Metrics!$F$7:$F$16,RANDBETWEEN(1,ROWS(Sprint_Metrics!$F$7:$F$16)))</f>
        <v>12</v>
      </c>
      <c r="E10" s="29" t="n">
        <f aca="false">INDEX(Sprint_Metrics!$F$7:$F$16,RANDBETWEEN(1,ROWS(Sprint_Metrics!$F$7:$F$16)))</f>
        <v>7</v>
      </c>
      <c r="F10" s="29" t="n">
        <f aca="false">INDEX(Sprint_Metrics!$F$7:$F$16,RANDBETWEEN(1,ROWS(Sprint_Metrics!$F$7:$F$16)))</f>
        <v>12</v>
      </c>
      <c r="G10" s="29" t="n">
        <f aca="false">INDEX(Sprint_Metrics!$F$7:$F$16,RANDBETWEEN(1,ROWS(Sprint_Metrics!$F$7:$F$16)))</f>
        <v>11</v>
      </c>
      <c r="H10" s="29" t="n">
        <f aca="false">INDEX(Sprint_Metrics!$F$7:$F$16,RANDBETWEEN(1,ROWS(Sprint_Metrics!$F$7:$F$16)))</f>
        <v>9</v>
      </c>
      <c r="I10" s="29" t="n">
        <f aca="false">INDEX(Sprint_Metrics!$F$7:$F$16,RANDBETWEEN(1,ROWS(Sprint_Metrics!$F$7:$F$16)))</f>
        <v>7</v>
      </c>
      <c r="J10" s="29" t="n">
        <f aca="false">B10</f>
        <v>11</v>
      </c>
      <c r="K10" s="29" t="n">
        <f aca="false">J10+C10</f>
        <v>20</v>
      </c>
      <c r="L10" s="29" t="n">
        <f aca="false">K10+D10</f>
        <v>32</v>
      </c>
      <c r="M10" s="29" t="n">
        <f aca="false">L10+E10</f>
        <v>39</v>
      </c>
      <c r="N10" s="29" t="n">
        <f aca="false">M10+F10</f>
        <v>51</v>
      </c>
      <c r="O10" s="29" t="n">
        <f aca="false">N10+G10</f>
        <v>62</v>
      </c>
      <c r="P10" s="29" t="n">
        <f aca="false">O10+H10</f>
        <v>71</v>
      </c>
      <c r="Q10" s="29" t="n">
        <f aca="false">P10+I10</f>
        <v>78</v>
      </c>
    </row>
    <row r="11" customFormat="false" ht="15" hidden="false" customHeight="false" outlineLevel="0" collapsed="false">
      <c r="A11" s="29" t="n">
        <v>10</v>
      </c>
      <c r="B11" s="29" t="n">
        <f aca="false">INDEX(Sprint_Metrics!$F$7:$F$16,RANDBETWEEN(1,ROWS(Sprint_Metrics!$F$7:$F$16)))</f>
        <v>7</v>
      </c>
      <c r="C11" s="29" t="n">
        <f aca="false">INDEX(Sprint_Metrics!$F$7:$F$16,RANDBETWEEN(1,ROWS(Sprint_Metrics!$F$7:$F$16)))</f>
        <v>8</v>
      </c>
      <c r="D11" s="29" t="n">
        <f aca="false">INDEX(Sprint_Metrics!$F$7:$F$16,RANDBETWEEN(1,ROWS(Sprint_Metrics!$F$7:$F$16)))</f>
        <v>9</v>
      </c>
      <c r="E11" s="29" t="n">
        <f aca="false">INDEX(Sprint_Metrics!$F$7:$F$16,RANDBETWEEN(1,ROWS(Sprint_Metrics!$F$7:$F$16)))</f>
        <v>8</v>
      </c>
      <c r="F11" s="29" t="n">
        <f aca="false">INDEX(Sprint_Metrics!$F$7:$F$16,RANDBETWEEN(1,ROWS(Sprint_Metrics!$F$7:$F$16)))</f>
        <v>11</v>
      </c>
      <c r="G11" s="29" t="n">
        <f aca="false">INDEX(Sprint_Metrics!$F$7:$F$16,RANDBETWEEN(1,ROWS(Sprint_Metrics!$F$7:$F$16)))</f>
        <v>7</v>
      </c>
      <c r="H11" s="29" t="n">
        <f aca="false">INDEX(Sprint_Metrics!$F$7:$F$16,RANDBETWEEN(1,ROWS(Sprint_Metrics!$F$7:$F$16)))</f>
        <v>11</v>
      </c>
      <c r="I11" s="29" t="n">
        <f aca="false">INDEX(Sprint_Metrics!$F$7:$F$16,RANDBETWEEN(1,ROWS(Sprint_Metrics!$F$7:$F$16)))</f>
        <v>7</v>
      </c>
      <c r="J11" s="29" t="n">
        <f aca="false">B11</f>
        <v>7</v>
      </c>
      <c r="K11" s="29" t="n">
        <f aca="false">J11+C11</f>
        <v>15</v>
      </c>
      <c r="L11" s="29" t="n">
        <f aca="false">K11+D11</f>
        <v>24</v>
      </c>
      <c r="M11" s="29" t="n">
        <f aca="false">L11+E11</f>
        <v>32</v>
      </c>
      <c r="N11" s="29" t="n">
        <f aca="false">M11+F11</f>
        <v>43</v>
      </c>
      <c r="O11" s="29" t="n">
        <f aca="false">N11+G11</f>
        <v>50</v>
      </c>
      <c r="P11" s="29" t="n">
        <f aca="false">O11+H11</f>
        <v>61</v>
      </c>
      <c r="Q11" s="29" t="n">
        <f aca="false">P11+I11</f>
        <v>68</v>
      </c>
    </row>
    <row r="12" customFormat="false" ht="15" hidden="false" customHeight="false" outlineLevel="0" collapsed="false">
      <c r="A12" s="29" t="n">
        <v>11</v>
      </c>
      <c r="B12" s="29" t="n">
        <f aca="false">INDEX(Sprint_Metrics!$F$7:$F$16,RANDBETWEEN(1,ROWS(Sprint_Metrics!$F$7:$F$16)))</f>
        <v>11</v>
      </c>
      <c r="C12" s="29" t="n">
        <f aca="false">INDEX(Sprint_Metrics!$F$7:$F$16,RANDBETWEEN(1,ROWS(Sprint_Metrics!$F$7:$F$16)))</f>
        <v>8</v>
      </c>
      <c r="D12" s="29" t="n">
        <f aca="false">INDEX(Sprint_Metrics!$F$7:$F$16,RANDBETWEEN(1,ROWS(Sprint_Metrics!$F$7:$F$16)))</f>
        <v>9</v>
      </c>
      <c r="E12" s="29" t="n">
        <f aca="false">INDEX(Sprint_Metrics!$F$7:$F$16,RANDBETWEEN(1,ROWS(Sprint_Metrics!$F$7:$F$16)))</f>
        <v>9</v>
      </c>
      <c r="F12" s="29" t="n">
        <f aca="false">INDEX(Sprint_Metrics!$F$7:$F$16,RANDBETWEEN(1,ROWS(Sprint_Metrics!$F$7:$F$16)))</f>
        <v>8</v>
      </c>
      <c r="G12" s="29" t="n">
        <f aca="false">INDEX(Sprint_Metrics!$F$7:$F$16,RANDBETWEEN(1,ROWS(Sprint_Metrics!$F$7:$F$16)))</f>
        <v>11</v>
      </c>
      <c r="H12" s="29" t="n">
        <f aca="false">INDEX(Sprint_Metrics!$F$7:$F$16,RANDBETWEEN(1,ROWS(Sprint_Metrics!$F$7:$F$16)))</f>
        <v>11</v>
      </c>
      <c r="I12" s="29" t="n">
        <f aca="false">INDEX(Sprint_Metrics!$F$7:$F$16,RANDBETWEEN(1,ROWS(Sprint_Metrics!$F$7:$F$16)))</f>
        <v>7</v>
      </c>
      <c r="J12" s="29" t="n">
        <f aca="false">B12</f>
        <v>11</v>
      </c>
      <c r="K12" s="29" t="n">
        <f aca="false">J12+C12</f>
        <v>19</v>
      </c>
      <c r="L12" s="29" t="n">
        <f aca="false">K12+D12</f>
        <v>28</v>
      </c>
      <c r="M12" s="29" t="n">
        <f aca="false">L12+E12</f>
        <v>37</v>
      </c>
      <c r="N12" s="29" t="n">
        <f aca="false">M12+F12</f>
        <v>45</v>
      </c>
      <c r="O12" s="29" t="n">
        <f aca="false">N12+G12</f>
        <v>56</v>
      </c>
      <c r="P12" s="29" t="n">
        <f aca="false">O12+H12</f>
        <v>67</v>
      </c>
      <c r="Q12" s="29" t="n">
        <f aca="false">P12+I12</f>
        <v>74</v>
      </c>
    </row>
    <row r="13" customFormat="false" ht="15" hidden="false" customHeight="false" outlineLevel="0" collapsed="false">
      <c r="A13" s="29" t="n">
        <v>12</v>
      </c>
      <c r="B13" s="29" t="n">
        <f aca="false">INDEX(Sprint_Metrics!$F$7:$F$16,RANDBETWEEN(1,ROWS(Sprint_Metrics!$F$7:$F$16)))</f>
        <v>11</v>
      </c>
      <c r="C13" s="29" t="n">
        <f aca="false">INDEX(Sprint_Metrics!$F$7:$F$16,RANDBETWEEN(1,ROWS(Sprint_Metrics!$F$7:$F$16)))</f>
        <v>7</v>
      </c>
      <c r="D13" s="29" t="n">
        <f aca="false">INDEX(Sprint_Metrics!$F$7:$F$16,RANDBETWEEN(1,ROWS(Sprint_Metrics!$F$7:$F$16)))</f>
        <v>12</v>
      </c>
      <c r="E13" s="29" t="n">
        <f aca="false">INDEX(Sprint_Metrics!$F$7:$F$16,RANDBETWEEN(1,ROWS(Sprint_Metrics!$F$7:$F$16)))</f>
        <v>7</v>
      </c>
      <c r="F13" s="29" t="n">
        <f aca="false">INDEX(Sprint_Metrics!$F$7:$F$16,RANDBETWEEN(1,ROWS(Sprint_Metrics!$F$7:$F$16)))</f>
        <v>7</v>
      </c>
      <c r="G13" s="29" t="n">
        <f aca="false">INDEX(Sprint_Metrics!$F$7:$F$16,RANDBETWEEN(1,ROWS(Sprint_Metrics!$F$7:$F$16)))</f>
        <v>9</v>
      </c>
      <c r="H13" s="29" t="n">
        <f aca="false">INDEX(Sprint_Metrics!$F$7:$F$16,RANDBETWEEN(1,ROWS(Sprint_Metrics!$F$7:$F$16)))</f>
        <v>8</v>
      </c>
      <c r="I13" s="29" t="n">
        <f aca="false">INDEX(Sprint_Metrics!$F$7:$F$16,RANDBETWEEN(1,ROWS(Sprint_Metrics!$F$7:$F$16)))</f>
        <v>8</v>
      </c>
      <c r="J13" s="29" t="n">
        <f aca="false">B13</f>
        <v>11</v>
      </c>
      <c r="K13" s="29" t="n">
        <f aca="false">J13+C13</f>
        <v>18</v>
      </c>
      <c r="L13" s="29" t="n">
        <f aca="false">K13+D13</f>
        <v>30</v>
      </c>
      <c r="M13" s="29" t="n">
        <f aca="false">L13+E13</f>
        <v>37</v>
      </c>
      <c r="N13" s="29" t="n">
        <f aca="false">M13+F13</f>
        <v>44</v>
      </c>
      <c r="O13" s="29" t="n">
        <f aca="false">N13+G13</f>
        <v>53</v>
      </c>
      <c r="P13" s="29" t="n">
        <f aca="false">O13+H13</f>
        <v>61</v>
      </c>
      <c r="Q13" s="29" t="n">
        <f aca="false">P13+I13</f>
        <v>69</v>
      </c>
    </row>
    <row r="14" customFormat="false" ht="15" hidden="false" customHeight="false" outlineLevel="0" collapsed="false">
      <c r="A14" s="29" t="n">
        <v>13</v>
      </c>
      <c r="B14" s="29" t="n">
        <f aca="false">INDEX(Sprint_Metrics!$F$7:$F$16,RANDBETWEEN(1,ROWS(Sprint_Metrics!$F$7:$F$16)))</f>
        <v>7</v>
      </c>
      <c r="C14" s="29" t="n">
        <f aca="false">INDEX(Sprint_Metrics!$F$7:$F$16,RANDBETWEEN(1,ROWS(Sprint_Metrics!$F$7:$F$16)))</f>
        <v>11</v>
      </c>
      <c r="D14" s="29" t="n">
        <f aca="false">INDEX(Sprint_Metrics!$F$7:$F$16,RANDBETWEEN(1,ROWS(Sprint_Metrics!$F$7:$F$16)))</f>
        <v>9</v>
      </c>
      <c r="E14" s="29" t="n">
        <f aca="false">INDEX(Sprint_Metrics!$F$7:$F$16,RANDBETWEEN(1,ROWS(Sprint_Metrics!$F$7:$F$16)))</f>
        <v>12</v>
      </c>
      <c r="F14" s="29" t="n">
        <f aca="false">INDEX(Sprint_Metrics!$F$7:$F$16,RANDBETWEEN(1,ROWS(Sprint_Metrics!$F$7:$F$16)))</f>
        <v>11</v>
      </c>
      <c r="G14" s="29" t="n">
        <f aca="false">INDEX(Sprint_Metrics!$F$7:$F$16,RANDBETWEEN(1,ROWS(Sprint_Metrics!$F$7:$F$16)))</f>
        <v>7</v>
      </c>
      <c r="H14" s="29" t="n">
        <f aca="false">INDEX(Sprint_Metrics!$F$7:$F$16,RANDBETWEEN(1,ROWS(Sprint_Metrics!$F$7:$F$16)))</f>
        <v>8</v>
      </c>
      <c r="I14" s="29" t="n">
        <f aca="false">INDEX(Sprint_Metrics!$F$7:$F$16,RANDBETWEEN(1,ROWS(Sprint_Metrics!$F$7:$F$16)))</f>
        <v>8</v>
      </c>
      <c r="J14" s="29" t="n">
        <f aca="false">B14</f>
        <v>7</v>
      </c>
      <c r="K14" s="29" t="n">
        <f aca="false">J14+C14</f>
        <v>18</v>
      </c>
      <c r="L14" s="29" t="n">
        <f aca="false">K14+D14</f>
        <v>27</v>
      </c>
      <c r="M14" s="29" t="n">
        <f aca="false">L14+E14</f>
        <v>39</v>
      </c>
      <c r="N14" s="29" t="n">
        <f aca="false">M14+F14</f>
        <v>50</v>
      </c>
      <c r="O14" s="29" t="n">
        <f aca="false">N14+G14</f>
        <v>57</v>
      </c>
      <c r="P14" s="29" t="n">
        <f aca="false">O14+H14</f>
        <v>65</v>
      </c>
      <c r="Q14" s="29" t="n">
        <f aca="false">P14+I14</f>
        <v>73</v>
      </c>
    </row>
    <row r="15" customFormat="false" ht="15" hidden="false" customHeight="false" outlineLevel="0" collapsed="false">
      <c r="A15" s="29" t="n">
        <v>14</v>
      </c>
      <c r="B15" s="29" t="n">
        <f aca="false">INDEX(Sprint_Metrics!$F$7:$F$16,RANDBETWEEN(1,ROWS(Sprint_Metrics!$F$7:$F$16)))</f>
        <v>7</v>
      </c>
      <c r="C15" s="29" t="n">
        <f aca="false">INDEX(Sprint_Metrics!$F$7:$F$16,RANDBETWEEN(1,ROWS(Sprint_Metrics!$F$7:$F$16)))</f>
        <v>8</v>
      </c>
      <c r="D15" s="29" t="n">
        <f aca="false">INDEX(Sprint_Metrics!$F$7:$F$16,RANDBETWEEN(1,ROWS(Sprint_Metrics!$F$7:$F$16)))</f>
        <v>7</v>
      </c>
      <c r="E15" s="29" t="n">
        <f aca="false">INDEX(Sprint_Metrics!$F$7:$F$16,RANDBETWEEN(1,ROWS(Sprint_Metrics!$F$7:$F$16)))</f>
        <v>8</v>
      </c>
      <c r="F15" s="29" t="n">
        <f aca="false">INDEX(Sprint_Metrics!$F$7:$F$16,RANDBETWEEN(1,ROWS(Sprint_Metrics!$F$7:$F$16)))</f>
        <v>7</v>
      </c>
      <c r="G15" s="29" t="n">
        <f aca="false">INDEX(Sprint_Metrics!$F$7:$F$16,RANDBETWEEN(1,ROWS(Sprint_Metrics!$F$7:$F$16)))</f>
        <v>7</v>
      </c>
      <c r="H15" s="29" t="n">
        <f aca="false">INDEX(Sprint_Metrics!$F$7:$F$16,RANDBETWEEN(1,ROWS(Sprint_Metrics!$F$7:$F$16)))</f>
        <v>8</v>
      </c>
      <c r="I15" s="29" t="n">
        <f aca="false">INDEX(Sprint_Metrics!$F$7:$F$16,RANDBETWEEN(1,ROWS(Sprint_Metrics!$F$7:$F$16)))</f>
        <v>8</v>
      </c>
      <c r="J15" s="29" t="n">
        <f aca="false">B15</f>
        <v>7</v>
      </c>
      <c r="K15" s="29" t="n">
        <f aca="false">J15+C15</f>
        <v>15</v>
      </c>
      <c r="L15" s="29" t="n">
        <f aca="false">K15+D15</f>
        <v>22</v>
      </c>
      <c r="M15" s="29" t="n">
        <f aca="false">L15+E15</f>
        <v>30</v>
      </c>
      <c r="N15" s="29" t="n">
        <f aca="false">M15+F15</f>
        <v>37</v>
      </c>
      <c r="O15" s="29" t="n">
        <f aca="false">N15+G15</f>
        <v>44</v>
      </c>
      <c r="P15" s="29" t="n">
        <f aca="false">O15+H15</f>
        <v>52</v>
      </c>
      <c r="Q15" s="29" t="n">
        <f aca="false">P15+I15</f>
        <v>60</v>
      </c>
    </row>
    <row r="16" customFormat="false" ht="15" hidden="false" customHeight="false" outlineLevel="0" collapsed="false">
      <c r="A16" s="29" t="n">
        <v>15</v>
      </c>
      <c r="B16" s="29" t="n">
        <f aca="false">INDEX(Sprint_Metrics!$F$7:$F$16,RANDBETWEEN(1,ROWS(Sprint_Metrics!$F$7:$F$16)))</f>
        <v>9</v>
      </c>
      <c r="C16" s="29" t="n">
        <f aca="false">INDEX(Sprint_Metrics!$F$7:$F$16,RANDBETWEEN(1,ROWS(Sprint_Metrics!$F$7:$F$16)))</f>
        <v>11</v>
      </c>
      <c r="D16" s="29" t="n">
        <f aca="false">INDEX(Sprint_Metrics!$F$7:$F$16,RANDBETWEEN(1,ROWS(Sprint_Metrics!$F$7:$F$16)))</f>
        <v>11</v>
      </c>
      <c r="E16" s="29" t="n">
        <f aca="false">INDEX(Sprint_Metrics!$F$7:$F$16,RANDBETWEEN(1,ROWS(Sprint_Metrics!$F$7:$F$16)))</f>
        <v>7</v>
      </c>
      <c r="F16" s="29" t="n">
        <f aca="false">INDEX(Sprint_Metrics!$F$7:$F$16,RANDBETWEEN(1,ROWS(Sprint_Metrics!$F$7:$F$16)))</f>
        <v>8</v>
      </c>
      <c r="G16" s="29" t="n">
        <f aca="false">INDEX(Sprint_Metrics!$F$7:$F$16,RANDBETWEEN(1,ROWS(Sprint_Metrics!$F$7:$F$16)))</f>
        <v>8</v>
      </c>
      <c r="H16" s="29" t="n">
        <f aca="false">INDEX(Sprint_Metrics!$F$7:$F$16,RANDBETWEEN(1,ROWS(Sprint_Metrics!$F$7:$F$16)))</f>
        <v>12</v>
      </c>
      <c r="I16" s="29" t="n">
        <f aca="false">INDEX(Sprint_Metrics!$F$7:$F$16,RANDBETWEEN(1,ROWS(Sprint_Metrics!$F$7:$F$16)))</f>
        <v>7</v>
      </c>
      <c r="J16" s="29" t="n">
        <f aca="false">B16</f>
        <v>9</v>
      </c>
      <c r="K16" s="29" t="n">
        <f aca="false">J16+C16</f>
        <v>20</v>
      </c>
      <c r="L16" s="29" t="n">
        <f aca="false">K16+D16</f>
        <v>31</v>
      </c>
      <c r="M16" s="29" t="n">
        <f aca="false">L16+E16</f>
        <v>38</v>
      </c>
      <c r="N16" s="29" t="n">
        <f aca="false">M16+F16</f>
        <v>46</v>
      </c>
      <c r="O16" s="29" t="n">
        <f aca="false">N16+G16</f>
        <v>54</v>
      </c>
      <c r="P16" s="29" t="n">
        <f aca="false">O16+H16</f>
        <v>66</v>
      </c>
      <c r="Q16" s="29" t="n">
        <f aca="false">P16+I16</f>
        <v>73</v>
      </c>
    </row>
    <row r="17" customFormat="false" ht="15" hidden="false" customHeight="false" outlineLevel="0" collapsed="false">
      <c r="A17" s="29" t="n">
        <v>16</v>
      </c>
      <c r="B17" s="29" t="n">
        <f aca="false">INDEX(Sprint_Metrics!$F$7:$F$16,RANDBETWEEN(1,ROWS(Sprint_Metrics!$F$7:$F$16)))</f>
        <v>12</v>
      </c>
      <c r="C17" s="29" t="n">
        <f aca="false">INDEX(Sprint_Metrics!$F$7:$F$16,RANDBETWEEN(1,ROWS(Sprint_Metrics!$F$7:$F$16)))</f>
        <v>8</v>
      </c>
      <c r="D17" s="29" t="n">
        <f aca="false">INDEX(Sprint_Metrics!$F$7:$F$16,RANDBETWEEN(1,ROWS(Sprint_Metrics!$F$7:$F$16)))</f>
        <v>11</v>
      </c>
      <c r="E17" s="29" t="n">
        <f aca="false">INDEX(Sprint_Metrics!$F$7:$F$16,RANDBETWEEN(1,ROWS(Sprint_Metrics!$F$7:$F$16)))</f>
        <v>7</v>
      </c>
      <c r="F17" s="29" t="n">
        <f aca="false">INDEX(Sprint_Metrics!$F$7:$F$16,RANDBETWEEN(1,ROWS(Sprint_Metrics!$F$7:$F$16)))</f>
        <v>9</v>
      </c>
      <c r="G17" s="29" t="n">
        <f aca="false">INDEX(Sprint_Metrics!$F$7:$F$16,RANDBETWEEN(1,ROWS(Sprint_Metrics!$F$7:$F$16)))</f>
        <v>7</v>
      </c>
      <c r="H17" s="29" t="n">
        <f aca="false">INDEX(Sprint_Metrics!$F$7:$F$16,RANDBETWEEN(1,ROWS(Sprint_Metrics!$F$7:$F$16)))</f>
        <v>7</v>
      </c>
      <c r="I17" s="29" t="n">
        <f aca="false">INDEX(Sprint_Metrics!$F$7:$F$16,RANDBETWEEN(1,ROWS(Sprint_Metrics!$F$7:$F$16)))</f>
        <v>7</v>
      </c>
      <c r="J17" s="29" t="n">
        <f aca="false">B17</f>
        <v>12</v>
      </c>
      <c r="K17" s="29" t="n">
        <f aca="false">J17+C17</f>
        <v>20</v>
      </c>
      <c r="L17" s="29" t="n">
        <f aca="false">K17+D17</f>
        <v>31</v>
      </c>
      <c r="M17" s="29" t="n">
        <f aca="false">L17+E17</f>
        <v>38</v>
      </c>
      <c r="N17" s="29" t="n">
        <f aca="false">M17+F17</f>
        <v>47</v>
      </c>
      <c r="O17" s="29" t="n">
        <f aca="false">N17+G17</f>
        <v>54</v>
      </c>
      <c r="P17" s="29" t="n">
        <f aca="false">O17+H17</f>
        <v>61</v>
      </c>
      <c r="Q17" s="29" t="n">
        <f aca="false">P17+I17</f>
        <v>68</v>
      </c>
    </row>
    <row r="18" customFormat="false" ht="15" hidden="false" customHeight="false" outlineLevel="0" collapsed="false">
      <c r="A18" s="29" t="n">
        <v>17</v>
      </c>
      <c r="B18" s="29" t="n">
        <f aca="false">INDEX(Sprint_Metrics!$F$7:$F$16,RANDBETWEEN(1,ROWS(Sprint_Metrics!$F$7:$F$16)))</f>
        <v>8</v>
      </c>
      <c r="C18" s="29" t="n">
        <f aca="false">INDEX(Sprint_Metrics!$F$7:$F$16,RANDBETWEEN(1,ROWS(Sprint_Metrics!$F$7:$F$16)))</f>
        <v>7</v>
      </c>
      <c r="D18" s="29" t="n">
        <f aca="false">INDEX(Sprint_Metrics!$F$7:$F$16,RANDBETWEEN(1,ROWS(Sprint_Metrics!$F$7:$F$16)))</f>
        <v>11</v>
      </c>
      <c r="E18" s="29" t="n">
        <f aca="false">INDEX(Sprint_Metrics!$F$7:$F$16,RANDBETWEEN(1,ROWS(Sprint_Metrics!$F$7:$F$16)))</f>
        <v>7</v>
      </c>
      <c r="F18" s="29" t="n">
        <f aca="false">INDEX(Sprint_Metrics!$F$7:$F$16,RANDBETWEEN(1,ROWS(Sprint_Metrics!$F$7:$F$16)))</f>
        <v>12</v>
      </c>
      <c r="G18" s="29" t="n">
        <f aca="false">INDEX(Sprint_Metrics!$F$7:$F$16,RANDBETWEEN(1,ROWS(Sprint_Metrics!$F$7:$F$16)))</f>
        <v>8</v>
      </c>
      <c r="H18" s="29" t="n">
        <f aca="false">INDEX(Sprint_Metrics!$F$7:$F$16,RANDBETWEEN(1,ROWS(Sprint_Metrics!$F$7:$F$16)))</f>
        <v>8</v>
      </c>
      <c r="I18" s="29" t="n">
        <f aca="false">INDEX(Sprint_Metrics!$F$7:$F$16,RANDBETWEEN(1,ROWS(Sprint_Metrics!$F$7:$F$16)))</f>
        <v>7</v>
      </c>
      <c r="J18" s="29" t="n">
        <f aca="false">B18</f>
        <v>8</v>
      </c>
      <c r="K18" s="29" t="n">
        <f aca="false">J18+C18</f>
        <v>15</v>
      </c>
      <c r="L18" s="29" t="n">
        <f aca="false">K18+D18</f>
        <v>26</v>
      </c>
      <c r="M18" s="29" t="n">
        <f aca="false">L18+E18</f>
        <v>33</v>
      </c>
      <c r="N18" s="29" t="n">
        <f aca="false">M18+F18</f>
        <v>45</v>
      </c>
      <c r="O18" s="29" t="n">
        <f aca="false">N18+G18</f>
        <v>53</v>
      </c>
      <c r="P18" s="29" t="n">
        <f aca="false">O18+H18</f>
        <v>61</v>
      </c>
      <c r="Q18" s="29" t="n">
        <f aca="false">P18+I18</f>
        <v>68</v>
      </c>
    </row>
    <row r="19" customFormat="false" ht="15" hidden="false" customHeight="false" outlineLevel="0" collapsed="false">
      <c r="A19" s="29" t="n">
        <v>18</v>
      </c>
      <c r="B19" s="29" t="n">
        <f aca="false">INDEX(Sprint_Metrics!$F$7:$F$16,RANDBETWEEN(1,ROWS(Sprint_Metrics!$F$7:$F$16)))</f>
        <v>8</v>
      </c>
      <c r="C19" s="29" t="n">
        <f aca="false">INDEX(Sprint_Metrics!$F$7:$F$16,RANDBETWEEN(1,ROWS(Sprint_Metrics!$F$7:$F$16)))</f>
        <v>12</v>
      </c>
      <c r="D19" s="29" t="n">
        <f aca="false">INDEX(Sprint_Metrics!$F$7:$F$16,RANDBETWEEN(1,ROWS(Sprint_Metrics!$F$7:$F$16)))</f>
        <v>12</v>
      </c>
      <c r="E19" s="29" t="n">
        <f aca="false">INDEX(Sprint_Metrics!$F$7:$F$16,RANDBETWEEN(1,ROWS(Sprint_Metrics!$F$7:$F$16)))</f>
        <v>11</v>
      </c>
      <c r="F19" s="29" t="n">
        <f aca="false">INDEX(Sprint_Metrics!$F$7:$F$16,RANDBETWEEN(1,ROWS(Sprint_Metrics!$F$7:$F$16)))</f>
        <v>8</v>
      </c>
      <c r="G19" s="29" t="n">
        <f aca="false">INDEX(Sprint_Metrics!$F$7:$F$16,RANDBETWEEN(1,ROWS(Sprint_Metrics!$F$7:$F$16)))</f>
        <v>11</v>
      </c>
      <c r="H19" s="29" t="n">
        <f aca="false">INDEX(Sprint_Metrics!$F$7:$F$16,RANDBETWEEN(1,ROWS(Sprint_Metrics!$F$7:$F$16)))</f>
        <v>11</v>
      </c>
      <c r="I19" s="29" t="n">
        <f aca="false">INDEX(Sprint_Metrics!$F$7:$F$16,RANDBETWEEN(1,ROWS(Sprint_Metrics!$F$7:$F$16)))</f>
        <v>9</v>
      </c>
      <c r="J19" s="29" t="n">
        <f aca="false">B19</f>
        <v>8</v>
      </c>
      <c r="K19" s="29" t="n">
        <f aca="false">J19+C19</f>
        <v>20</v>
      </c>
      <c r="L19" s="29" t="n">
        <f aca="false">K19+D19</f>
        <v>32</v>
      </c>
      <c r="M19" s="29" t="n">
        <f aca="false">L19+E19</f>
        <v>43</v>
      </c>
      <c r="N19" s="29" t="n">
        <f aca="false">M19+F19</f>
        <v>51</v>
      </c>
      <c r="O19" s="29" t="n">
        <f aca="false">N19+G19</f>
        <v>62</v>
      </c>
      <c r="P19" s="29" t="n">
        <f aca="false">O19+H19</f>
        <v>73</v>
      </c>
      <c r="Q19" s="29" t="n">
        <f aca="false">P19+I19</f>
        <v>82</v>
      </c>
    </row>
    <row r="20" customFormat="false" ht="15" hidden="false" customHeight="false" outlineLevel="0" collapsed="false">
      <c r="A20" s="29" t="n">
        <v>19</v>
      </c>
      <c r="B20" s="29" t="n">
        <f aca="false">INDEX(Sprint_Metrics!$F$7:$F$16,RANDBETWEEN(1,ROWS(Sprint_Metrics!$F$7:$F$16)))</f>
        <v>12</v>
      </c>
      <c r="C20" s="29" t="n">
        <f aca="false">INDEX(Sprint_Metrics!$F$7:$F$16,RANDBETWEEN(1,ROWS(Sprint_Metrics!$F$7:$F$16)))</f>
        <v>12</v>
      </c>
      <c r="D20" s="29" t="n">
        <f aca="false">INDEX(Sprint_Metrics!$F$7:$F$16,RANDBETWEEN(1,ROWS(Sprint_Metrics!$F$7:$F$16)))</f>
        <v>8</v>
      </c>
      <c r="E20" s="29" t="n">
        <f aca="false">INDEX(Sprint_Metrics!$F$7:$F$16,RANDBETWEEN(1,ROWS(Sprint_Metrics!$F$7:$F$16)))</f>
        <v>8</v>
      </c>
      <c r="F20" s="29" t="n">
        <f aca="false">INDEX(Sprint_Metrics!$F$7:$F$16,RANDBETWEEN(1,ROWS(Sprint_Metrics!$F$7:$F$16)))</f>
        <v>8</v>
      </c>
      <c r="G20" s="29" t="n">
        <f aca="false">INDEX(Sprint_Metrics!$F$7:$F$16,RANDBETWEEN(1,ROWS(Sprint_Metrics!$F$7:$F$16)))</f>
        <v>8</v>
      </c>
      <c r="H20" s="29" t="n">
        <f aca="false">INDEX(Sprint_Metrics!$F$7:$F$16,RANDBETWEEN(1,ROWS(Sprint_Metrics!$F$7:$F$16)))</f>
        <v>12</v>
      </c>
      <c r="I20" s="29" t="n">
        <f aca="false">INDEX(Sprint_Metrics!$F$7:$F$16,RANDBETWEEN(1,ROWS(Sprint_Metrics!$F$7:$F$16)))</f>
        <v>7</v>
      </c>
      <c r="J20" s="29" t="n">
        <f aca="false">B20</f>
        <v>12</v>
      </c>
      <c r="K20" s="29" t="n">
        <f aca="false">J20+C20</f>
        <v>24</v>
      </c>
      <c r="L20" s="29" t="n">
        <f aca="false">K20+D20</f>
        <v>32</v>
      </c>
      <c r="M20" s="29" t="n">
        <f aca="false">L20+E20</f>
        <v>40</v>
      </c>
      <c r="N20" s="29" t="n">
        <f aca="false">M20+F20</f>
        <v>48</v>
      </c>
      <c r="O20" s="29" t="n">
        <f aca="false">N20+G20</f>
        <v>56</v>
      </c>
      <c r="P20" s="29" t="n">
        <f aca="false">O20+H20</f>
        <v>68</v>
      </c>
      <c r="Q20" s="29" t="n">
        <f aca="false">P20+I20</f>
        <v>75</v>
      </c>
    </row>
    <row r="21" customFormat="false" ht="15" hidden="false" customHeight="false" outlineLevel="0" collapsed="false">
      <c r="A21" s="29" t="n">
        <v>20</v>
      </c>
      <c r="B21" s="29" t="n">
        <f aca="false">INDEX(Sprint_Metrics!$F$7:$F$16,RANDBETWEEN(1,ROWS(Sprint_Metrics!$F$7:$F$16)))</f>
        <v>7</v>
      </c>
      <c r="C21" s="29" t="n">
        <f aca="false">INDEX(Sprint_Metrics!$F$7:$F$16,RANDBETWEEN(1,ROWS(Sprint_Metrics!$F$7:$F$16)))</f>
        <v>11</v>
      </c>
      <c r="D21" s="29" t="n">
        <f aca="false">INDEX(Sprint_Metrics!$F$7:$F$16,RANDBETWEEN(1,ROWS(Sprint_Metrics!$F$7:$F$16)))</f>
        <v>8</v>
      </c>
      <c r="E21" s="29" t="n">
        <f aca="false">INDEX(Sprint_Metrics!$F$7:$F$16,RANDBETWEEN(1,ROWS(Sprint_Metrics!$F$7:$F$16)))</f>
        <v>11</v>
      </c>
      <c r="F21" s="29" t="n">
        <f aca="false">INDEX(Sprint_Metrics!$F$7:$F$16,RANDBETWEEN(1,ROWS(Sprint_Metrics!$F$7:$F$16)))</f>
        <v>8</v>
      </c>
      <c r="G21" s="29" t="n">
        <f aca="false">INDEX(Sprint_Metrics!$F$7:$F$16,RANDBETWEEN(1,ROWS(Sprint_Metrics!$F$7:$F$16)))</f>
        <v>8</v>
      </c>
      <c r="H21" s="29" t="n">
        <f aca="false">INDEX(Sprint_Metrics!$F$7:$F$16,RANDBETWEEN(1,ROWS(Sprint_Metrics!$F$7:$F$16)))</f>
        <v>8</v>
      </c>
      <c r="I21" s="29" t="n">
        <f aca="false">INDEX(Sprint_Metrics!$F$7:$F$16,RANDBETWEEN(1,ROWS(Sprint_Metrics!$F$7:$F$16)))</f>
        <v>7</v>
      </c>
      <c r="J21" s="29" t="n">
        <f aca="false">B21</f>
        <v>7</v>
      </c>
      <c r="K21" s="29" t="n">
        <f aca="false">J21+C21</f>
        <v>18</v>
      </c>
      <c r="L21" s="29" t="n">
        <f aca="false">K21+D21</f>
        <v>26</v>
      </c>
      <c r="M21" s="29" t="n">
        <f aca="false">L21+E21</f>
        <v>37</v>
      </c>
      <c r="N21" s="29" t="n">
        <f aca="false">M21+F21</f>
        <v>45</v>
      </c>
      <c r="O21" s="29" t="n">
        <f aca="false">N21+G21</f>
        <v>53</v>
      </c>
      <c r="P21" s="29" t="n">
        <f aca="false">O21+H21</f>
        <v>61</v>
      </c>
      <c r="Q21" s="29" t="n">
        <f aca="false">P21+I21</f>
        <v>68</v>
      </c>
    </row>
    <row r="22" customFormat="false" ht="15" hidden="false" customHeight="false" outlineLevel="0" collapsed="false">
      <c r="A22" s="29" t="n">
        <v>21</v>
      </c>
      <c r="B22" s="29" t="n">
        <f aca="false">INDEX(Sprint_Metrics!$F$7:$F$16,RANDBETWEEN(1,ROWS(Sprint_Metrics!$F$7:$F$16)))</f>
        <v>7</v>
      </c>
      <c r="C22" s="29" t="n">
        <f aca="false">INDEX(Sprint_Metrics!$F$7:$F$16,RANDBETWEEN(1,ROWS(Sprint_Metrics!$F$7:$F$16)))</f>
        <v>7</v>
      </c>
      <c r="D22" s="29" t="n">
        <f aca="false">INDEX(Sprint_Metrics!$F$7:$F$16,RANDBETWEEN(1,ROWS(Sprint_Metrics!$F$7:$F$16)))</f>
        <v>9</v>
      </c>
      <c r="E22" s="29" t="n">
        <f aca="false">INDEX(Sprint_Metrics!$F$7:$F$16,RANDBETWEEN(1,ROWS(Sprint_Metrics!$F$7:$F$16)))</f>
        <v>9</v>
      </c>
      <c r="F22" s="29" t="n">
        <f aca="false">INDEX(Sprint_Metrics!$F$7:$F$16,RANDBETWEEN(1,ROWS(Sprint_Metrics!$F$7:$F$16)))</f>
        <v>9</v>
      </c>
      <c r="G22" s="29" t="n">
        <f aca="false">INDEX(Sprint_Metrics!$F$7:$F$16,RANDBETWEEN(1,ROWS(Sprint_Metrics!$F$7:$F$16)))</f>
        <v>8</v>
      </c>
      <c r="H22" s="29" t="n">
        <f aca="false">INDEX(Sprint_Metrics!$F$7:$F$16,RANDBETWEEN(1,ROWS(Sprint_Metrics!$F$7:$F$16)))</f>
        <v>8</v>
      </c>
      <c r="I22" s="29" t="n">
        <f aca="false">INDEX(Sprint_Metrics!$F$7:$F$16,RANDBETWEEN(1,ROWS(Sprint_Metrics!$F$7:$F$16)))</f>
        <v>9</v>
      </c>
      <c r="J22" s="29" t="n">
        <f aca="false">B22</f>
        <v>7</v>
      </c>
      <c r="K22" s="29" t="n">
        <f aca="false">J22+C22</f>
        <v>14</v>
      </c>
      <c r="L22" s="29" t="n">
        <f aca="false">K22+D22</f>
        <v>23</v>
      </c>
      <c r="M22" s="29" t="n">
        <f aca="false">L22+E22</f>
        <v>32</v>
      </c>
      <c r="N22" s="29" t="n">
        <f aca="false">M22+F22</f>
        <v>41</v>
      </c>
      <c r="O22" s="29" t="n">
        <f aca="false">N22+G22</f>
        <v>49</v>
      </c>
      <c r="P22" s="29" t="n">
        <f aca="false">O22+H22</f>
        <v>57</v>
      </c>
      <c r="Q22" s="29" t="n">
        <f aca="false">P22+I22</f>
        <v>66</v>
      </c>
    </row>
    <row r="23" customFormat="false" ht="15" hidden="false" customHeight="false" outlineLevel="0" collapsed="false">
      <c r="A23" s="29" t="n">
        <v>22</v>
      </c>
      <c r="B23" s="29" t="n">
        <f aca="false">INDEX(Sprint_Metrics!$F$7:$F$16,RANDBETWEEN(1,ROWS(Sprint_Metrics!$F$7:$F$16)))</f>
        <v>7</v>
      </c>
      <c r="C23" s="29" t="n">
        <f aca="false">INDEX(Sprint_Metrics!$F$7:$F$16,RANDBETWEEN(1,ROWS(Sprint_Metrics!$F$7:$F$16)))</f>
        <v>8</v>
      </c>
      <c r="D23" s="29" t="n">
        <f aca="false">INDEX(Sprint_Metrics!$F$7:$F$16,RANDBETWEEN(1,ROWS(Sprint_Metrics!$F$7:$F$16)))</f>
        <v>11</v>
      </c>
      <c r="E23" s="29" t="n">
        <f aca="false">INDEX(Sprint_Metrics!$F$7:$F$16,RANDBETWEEN(1,ROWS(Sprint_Metrics!$F$7:$F$16)))</f>
        <v>7</v>
      </c>
      <c r="F23" s="29" t="n">
        <f aca="false">INDEX(Sprint_Metrics!$F$7:$F$16,RANDBETWEEN(1,ROWS(Sprint_Metrics!$F$7:$F$16)))</f>
        <v>12</v>
      </c>
      <c r="G23" s="29" t="n">
        <f aca="false">INDEX(Sprint_Metrics!$F$7:$F$16,RANDBETWEEN(1,ROWS(Sprint_Metrics!$F$7:$F$16)))</f>
        <v>7</v>
      </c>
      <c r="H23" s="29" t="n">
        <f aca="false">INDEX(Sprint_Metrics!$F$7:$F$16,RANDBETWEEN(1,ROWS(Sprint_Metrics!$F$7:$F$16)))</f>
        <v>9</v>
      </c>
      <c r="I23" s="29" t="n">
        <f aca="false">INDEX(Sprint_Metrics!$F$7:$F$16,RANDBETWEEN(1,ROWS(Sprint_Metrics!$F$7:$F$16)))</f>
        <v>7</v>
      </c>
      <c r="J23" s="29" t="n">
        <f aca="false">B23</f>
        <v>7</v>
      </c>
      <c r="K23" s="29" t="n">
        <f aca="false">J23+C23</f>
        <v>15</v>
      </c>
      <c r="L23" s="29" t="n">
        <f aca="false">K23+D23</f>
        <v>26</v>
      </c>
      <c r="M23" s="29" t="n">
        <f aca="false">L23+E23</f>
        <v>33</v>
      </c>
      <c r="N23" s="29" t="n">
        <f aca="false">M23+F23</f>
        <v>45</v>
      </c>
      <c r="O23" s="29" t="n">
        <f aca="false">N23+G23</f>
        <v>52</v>
      </c>
      <c r="P23" s="29" t="n">
        <f aca="false">O23+H23</f>
        <v>61</v>
      </c>
      <c r="Q23" s="29" t="n">
        <f aca="false">P23+I23</f>
        <v>68</v>
      </c>
    </row>
    <row r="24" customFormat="false" ht="15" hidden="false" customHeight="false" outlineLevel="0" collapsed="false">
      <c r="A24" s="29" t="n">
        <v>23</v>
      </c>
      <c r="B24" s="29" t="n">
        <f aca="false">INDEX(Sprint_Metrics!$F$7:$F$16,RANDBETWEEN(1,ROWS(Sprint_Metrics!$F$7:$F$16)))</f>
        <v>8</v>
      </c>
      <c r="C24" s="29" t="n">
        <f aca="false">INDEX(Sprint_Metrics!$F$7:$F$16,RANDBETWEEN(1,ROWS(Sprint_Metrics!$F$7:$F$16)))</f>
        <v>9</v>
      </c>
      <c r="D24" s="29" t="n">
        <f aca="false">INDEX(Sprint_Metrics!$F$7:$F$16,RANDBETWEEN(1,ROWS(Sprint_Metrics!$F$7:$F$16)))</f>
        <v>9</v>
      </c>
      <c r="E24" s="29" t="n">
        <f aca="false">INDEX(Sprint_Metrics!$F$7:$F$16,RANDBETWEEN(1,ROWS(Sprint_Metrics!$F$7:$F$16)))</f>
        <v>9</v>
      </c>
      <c r="F24" s="29" t="n">
        <f aca="false">INDEX(Sprint_Metrics!$F$7:$F$16,RANDBETWEEN(1,ROWS(Sprint_Metrics!$F$7:$F$16)))</f>
        <v>7</v>
      </c>
      <c r="G24" s="29" t="n">
        <f aca="false">INDEX(Sprint_Metrics!$F$7:$F$16,RANDBETWEEN(1,ROWS(Sprint_Metrics!$F$7:$F$16)))</f>
        <v>8</v>
      </c>
      <c r="H24" s="29" t="n">
        <f aca="false">INDEX(Sprint_Metrics!$F$7:$F$16,RANDBETWEEN(1,ROWS(Sprint_Metrics!$F$7:$F$16)))</f>
        <v>7</v>
      </c>
      <c r="I24" s="29" t="n">
        <f aca="false">INDEX(Sprint_Metrics!$F$7:$F$16,RANDBETWEEN(1,ROWS(Sprint_Metrics!$F$7:$F$16)))</f>
        <v>7</v>
      </c>
      <c r="J24" s="29" t="n">
        <f aca="false">B24</f>
        <v>8</v>
      </c>
      <c r="K24" s="29" t="n">
        <f aca="false">J24+C24</f>
        <v>17</v>
      </c>
      <c r="L24" s="29" t="n">
        <f aca="false">K24+D24</f>
        <v>26</v>
      </c>
      <c r="M24" s="29" t="n">
        <f aca="false">L24+E24</f>
        <v>35</v>
      </c>
      <c r="N24" s="29" t="n">
        <f aca="false">M24+F24</f>
        <v>42</v>
      </c>
      <c r="O24" s="29" t="n">
        <f aca="false">N24+G24</f>
        <v>50</v>
      </c>
      <c r="P24" s="29" t="n">
        <f aca="false">O24+H24</f>
        <v>57</v>
      </c>
      <c r="Q24" s="29" t="n">
        <f aca="false">P24+I24</f>
        <v>64</v>
      </c>
    </row>
    <row r="25" customFormat="false" ht="15" hidden="false" customHeight="false" outlineLevel="0" collapsed="false">
      <c r="A25" s="29" t="n">
        <v>24</v>
      </c>
      <c r="B25" s="29" t="n">
        <f aca="false">INDEX(Sprint_Metrics!$F$7:$F$16,RANDBETWEEN(1,ROWS(Sprint_Metrics!$F$7:$F$16)))</f>
        <v>8</v>
      </c>
      <c r="C25" s="29" t="n">
        <f aca="false">INDEX(Sprint_Metrics!$F$7:$F$16,RANDBETWEEN(1,ROWS(Sprint_Metrics!$F$7:$F$16)))</f>
        <v>12</v>
      </c>
      <c r="D25" s="29" t="n">
        <f aca="false">INDEX(Sprint_Metrics!$F$7:$F$16,RANDBETWEEN(1,ROWS(Sprint_Metrics!$F$7:$F$16)))</f>
        <v>11</v>
      </c>
      <c r="E25" s="29" t="n">
        <f aca="false">INDEX(Sprint_Metrics!$F$7:$F$16,RANDBETWEEN(1,ROWS(Sprint_Metrics!$F$7:$F$16)))</f>
        <v>12</v>
      </c>
      <c r="F25" s="29" t="n">
        <f aca="false">INDEX(Sprint_Metrics!$F$7:$F$16,RANDBETWEEN(1,ROWS(Sprint_Metrics!$F$7:$F$16)))</f>
        <v>11</v>
      </c>
      <c r="G25" s="29" t="n">
        <f aca="false">INDEX(Sprint_Metrics!$F$7:$F$16,RANDBETWEEN(1,ROWS(Sprint_Metrics!$F$7:$F$16)))</f>
        <v>8</v>
      </c>
      <c r="H25" s="29" t="n">
        <f aca="false">INDEX(Sprint_Metrics!$F$7:$F$16,RANDBETWEEN(1,ROWS(Sprint_Metrics!$F$7:$F$16)))</f>
        <v>7</v>
      </c>
      <c r="I25" s="29" t="n">
        <f aca="false">INDEX(Sprint_Metrics!$F$7:$F$16,RANDBETWEEN(1,ROWS(Sprint_Metrics!$F$7:$F$16)))</f>
        <v>8</v>
      </c>
      <c r="J25" s="29" t="n">
        <f aca="false">B25</f>
        <v>8</v>
      </c>
      <c r="K25" s="29" t="n">
        <f aca="false">J25+C25</f>
        <v>20</v>
      </c>
      <c r="L25" s="29" t="n">
        <f aca="false">K25+D25</f>
        <v>31</v>
      </c>
      <c r="M25" s="29" t="n">
        <f aca="false">L25+E25</f>
        <v>43</v>
      </c>
      <c r="N25" s="29" t="n">
        <f aca="false">M25+F25</f>
        <v>54</v>
      </c>
      <c r="O25" s="29" t="n">
        <f aca="false">N25+G25</f>
        <v>62</v>
      </c>
      <c r="P25" s="29" t="n">
        <f aca="false">O25+H25</f>
        <v>69</v>
      </c>
      <c r="Q25" s="29" t="n">
        <f aca="false">P25+I25</f>
        <v>77</v>
      </c>
    </row>
    <row r="26" customFormat="false" ht="15" hidden="false" customHeight="false" outlineLevel="0" collapsed="false">
      <c r="A26" s="29" t="n">
        <v>25</v>
      </c>
      <c r="B26" s="29" t="n">
        <f aca="false">INDEX(Sprint_Metrics!$F$7:$F$16,RANDBETWEEN(1,ROWS(Sprint_Metrics!$F$7:$F$16)))</f>
        <v>11</v>
      </c>
      <c r="C26" s="29" t="n">
        <f aca="false">INDEX(Sprint_Metrics!$F$7:$F$16,RANDBETWEEN(1,ROWS(Sprint_Metrics!$F$7:$F$16)))</f>
        <v>7</v>
      </c>
      <c r="D26" s="29" t="n">
        <f aca="false">INDEX(Sprint_Metrics!$F$7:$F$16,RANDBETWEEN(1,ROWS(Sprint_Metrics!$F$7:$F$16)))</f>
        <v>11</v>
      </c>
      <c r="E26" s="29" t="n">
        <f aca="false">INDEX(Sprint_Metrics!$F$7:$F$16,RANDBETWEEN(1,ROWS(Sprint_Metrics!$F$7:$F$16)))</f>
        <v>8</v>
      </c>
      <c r="F26" s="29" t="n">
        <f aca="false">INDEX(Sprint_Metrics!$F$7:$F$16,RANDBETWEEN(1,ROWS(Sprint_Metrics!$F$7:$F$16)))</f>
        <v>7</v>
      </c>
      <c r="G26" s="29" t="n">
        <f aca="false">INDEX(Sprint_Metrics!$F$7:$F$16,RANDBETWEEN(1,ROWS(Sprint_Metrics!$F$7:$F$16)))</f>
        <v>8</v>
      </c>
      <c r="H26" s="29" t="n">
        <f aca="false">INDEX(Sprint_Metrics!$F$7:$F$16,RANDBETWEEN(1,ROWS(Sprint_Metrics!$F$7:$F$16)))</f>
        <v>12</v>
      </c>
      <c r="I26" s="29" t="n">
        <f aca="false">INDEX(Sprint_Metrics!$F$7:$F$16,RANDBETWEEN(1,ROWS(Sprint_Metrics!$F$7:$F$16)))</f>
        <v>11</v>
      </c>
      <c r="J26" s="29" t="n">
        <f aca="false">B26</f>
        <v>11</v>
      </c>
      <c r="K26" s="29" t="n">
        <f aca="false">J26+C26</f>
        <v>18</v>
      </c>
      <c r="L26" s="29" t="n">
        <f aca="false">K26+D26</f>
        <v>29</v>
      </c>
      <c r="M26" s="29" t="n">
        <f aca="false">L26+E26</f>
        <v>37</v>
      </c>
      <c r="N26" s="29" t="n">
        <f aca="false">M26+F26</f>
        <v>44</v>
      </c>
      <c r="O26" s="29" t="n">
        <f aca="false">N26+G26</f>
        <v>52</v>
      </c>
      <c r="P26" s="29" t="n">
        <f aca="false">O26+H26</f>
        <v>64</v>
      </c>
      <c r="Q26" s="29" t="n">
        <f aca="false">P26+I26</f>
        <v>75</v>
      </c>
    </row>
    <row r="27" customFormat="false" ht="15" hidden="false" customHeight="false" outlineLevel="0" collapsed="false">
      <c r="A27" s="29" t="n">
        <v>26</v>
      </c>
      <c r="B27" s="29" t="n">
        <f aca="false">INDEX(Sprint_Metrics!$F$7:$F$16,RANDBETWEEN(1,ROWS(Sprint_Metrics!$F$7:$F$16)))</f>
        <v>8</v>
      </c>
      <c r="C27" s="29" t="n">
        <f aca="false">INDEX(Sprint_Metrics!$F$7:$F$16,RANDBETWEEN(1,ROWS(Sprint_Metrics!$F$7:$F$16)))</f>
        <v>8</v>
      </c>
      <c r="D27" s="29" t="n">
        <f aca="false">INDEX(Sprint_Metrics!$F$7:$F$16,RANDBETWEEN(1,ROWS(Sprint_Metrics!$F$7:$F$16)))</f>
        <v>7</v>
      </c>
      <c r="E27" s="29" t="n">
        <f aca="false">INDEX(Sprint_Metrics!$F$7:$F$16,RANDBETWEEN(1,ROWS(Sprint_Metrics!$F$7:$F$16)))</f>
        <v>8</v>
      </c>
      <c r="F27" s="29" t="n">
        <f aca="false">INDEX(Sprint_Metrics!$F$7:$F$16,RANDBETWEEN(1,ROWS(Sprint_Metrics!$F$7:$F$16)))</f>
        <v>8</v>
      </c>
      <c r="G27" s="29" t="n">
        <f aca="false">INDEX(Sprint_Metrics!$F$7:$F$16,RANDBETWEEN(1,ROWS(Sprint_Metrics!$F$7:$F$16)))</f>
        <v>9</v>
      </c>
      <c r="H27" s="29" t="n">
        <f aca="false">INDEX(Sprint_Metrics!$F$7:$F$16,RANDBETWEEN(1,ROWS(Sprint_Metrics!$F$7:$F$16)))</f>
        <v>9</v>
      </c>
      <c r="I27" s="29" t="n">
        <f aca="false">INDEX(Sprint_Metrics!$F$7:$F$16,RANDBETWEEN(1,ROWS(Sprint_Metrics!$F$7:$F$16)))</f>
        <v>9</v>
      </c>
      <c r="J27" s="29" t="n">
        <f aca="false">B27</f>
        <v>8</v>
      </c>
      <c r="K27" s="29" t="n">
        <f aca="false">J27+C27</f>
        <v>16</v>
      </c>
      <c r="L27" s="29" t="n">
        <f aca="false">K27+D27</f>
        <v>23</v>
      </c>
      <c r="M27" s="29" t="n">
        <f aca="false">L27+E27</f>
        <v>31</v>
      </c>
      <c r="N27" s="29" t="n">
        <f aca="false">M27+F27</f>
        <v>39</v>
      </c>
      <c r="O27" s="29" t="n">
        <f aca="false">N27+G27</f>
        <v>48</v>
      </c>
      <c r="P27" s="29" t="n">
        <f aca="false">O27+H27</f>
        <v>57</v>
      </c>
      <c r="Q27" s="29" t="n">
        <f aca="false">P27+I27</f>
        <v>66</v>
      </c>
    </row>
    <row r="28" customFormat="false" ht="15" hidden="false" customHeight="false" outlineLevel="0" collapsed="false">
      <c r="A28" s="29" t="n">
        <v>27</v>
      </c>
      <c r="B28" s="29" t="n">
        <f aca="false">INDEX(Sprint_Metrics!$F$7:$F$16,RANDBETWEEN(1,ROWS(Sprint_Metrics!$F$7:$F$16)))</f>
        <v>12</v>
      </c>
      <c r="C28" s="29" t="n">
        <f aca="false">INDEX(Sprint_Metrics!$F$7:$F$16,RANDBETWEEN(1,ROWS(Sprint_Metrics!$F$7:$F$16)))</f>
        <v>8</v>
      </c>
      <c r="D28" s="29" t="n">
        <f aca="false">INDEX(Sprint_Metrics!$F$7:$F$16,RANDBETWEEN(1,ROWS(Sprint_Metrics!$F$7:$F$16)))</f>
        <v>7</v>
      </c>
      <c r="E28" s="29" t="n">
        <f aca="false">INDEX(Sprint_Metrics!$F$7:$F$16,RANDBETWEEN(1,ROWS(Sprint_Metrics!$F$7:$F$16)))</f>
        <v>7</v>
      </c>
      <c r="F28" s="29" t="n">
        <f aca="false">INDEX(Sprint_Metrics!$F$7:$F$16,RANDBETWEEN(1,ROWS(Sprint_Metrics!$F$7:$F$16)))</f>
        <v>11</v>
      </c>
      <c r="G28" s="29" t="n">
        <f aca="false">INDEX(Sprint_Metrics!$F$7:$F$16,RANDBETWEEN(1,ROWS(Sprint_Metrics!$F$7:$F$16)))</f>
        <v>7</v>
      </c>
      <c r="H28" s="29" t="n">
        <f aca="false">INDEX(Sprint_Metrics!$F$7:$F$16,RANDBETWEEN(1,ROWS(Sprint_Metrics!$F$7:$F$16)))</f>
        <v>9</v>
      </c>
      <c r="I28" s="29" t="n">
        <f aca="false">INDEX(Sprint_Metrics!$F$7:$F$16,RANDBETWEEN(1,ROWS(Sprint_Metrics!$F$7:$F$16)))</f>
        <v>8</v>
      </c>
      <c r="J28" s="29" t="n">
        <f aca="false">B28</f>
        <v>12</v>
      </c>
      <c r="K28" s="29" t="n">
        <f aca="false">J28+C28</f>
        <v>20</v>
      </c>
      <c r="L28" s="29" t="n">
        <f aca="false">K28+D28</f>
        <v>27</v>
      </c>
      <c r="M28" s="29" t="n">
        <f aca="false">L28+E28</f>
        <v>34</v>
      </c>
      <c r="N28" s="29" t="n">
        <f aca="false">M28+F28</f>
        <v>45</v>
      </c>
      <c r="O28" s="29" t="n">
        <f aca="false">N28+G28</f>
        <v>52</v>
      </c>
      <c r="P28" s="29" t="n">
        <f aca="false">O28+H28</f>
        <v>61</v>
      </c>
      <c r="Q28" s="29" t="n">
        <f aca="false">P28+I28</f>
        <v>69</v>
      </c>
    </row>
    <row r="29" customFormat="false" ht="15" hidden="false" customHeight="false" outlineLevel="0" collapsed="false">
      <c r="A29" s="29" t="n">
        <v>28</v>
      </c>
      <c r="B29" s="29" t="n">
        <f aca="false">INDEX(Sprint_Metrics!$F$7:$F$16,RANDBETWEEN(1,ROWS(Sprint_Metrics!$F$7:$F$16)))</f>
        <v>8</v>
      </c>
      <c r="C29" s="29" t="n">
        <f aca="false">INDEX(Sprint_Metrics!$F$7:$F$16,RANDBETWEEN(1,ROWS(Sprint_Metrics!$F$7:$F$16)))</f>
        <v>12</v>
      </c>
      <c r="D29" s="29" t="n">
        <f aca="false">INDEX(Sprint_Metrics!$F$7:$F$16,RANDBETWEEN(1,ROWS(Sprint_Metrics!$F$7:$F$16)))</f>
        <v>8</v>
      </c>
      <c r="E29" s="29" t="n">
        <f aca="false">INDEX(Sprint_Metrics!$F$7:$F$16,RANDBETWEEN(1,ROWS(Sprint_Metrics!$F$7:$F$16)))</f>
        <v>8</v>
      </c>
      <c r="F29" s="29" t="n">
        <f aca="false">INDEX(Sprint_Metrics!$F$7:$F$16,RANDBETWEEN(1,ROWS(Sprint_Metrics!$F$7:$F$16)))</f>
        <v>11</v>
      </c>
      <c r="G29" s="29" t="n">
        <f aca="false">INDEX(Sprint_Metrics!$F$7:$F$16,RANDBETWEEN(1,ROWS(Sprint_Metrics!$F$7:$F$16)))</f>
        <v>11</v>
      </c>
      <c r="H29" s="29" t="n">
        <f aca="false">INDEX(Sprint_Metrics!$F$7:$F$16,RANDBETWEEN(1,ROWS(Sprint_Metrics!$F$7:$F$16)))</f>
        <v>8</v>
      </c>
      <c r="I29" s="29" t="n">
        <f aca="false">INDEX(Sprint_Metrics!$F$7:$F$16,RANDBETWEEN(1,ROWS(Sprint_Metrics!$F$7:$F$16)))</f>
        <v>9</v>
      </c>
      <c r="J29" s="29" t="n">
        <f aca="false">B29</f>
        <v>8</v>
      </c>
      <c r="K29" s="29" t="n">
        <f aca="false">J29+C29</f>
        <v>20</v>
      </c>
      <c r="L29" s="29" t="n">
        <f aca="false">K29+D29</f>
        <v>28</v>
      </c>
      <c r="M29" s="29" t="n">
        <f aca="false">L29+E29</f>
        <v>36</v>
      </c>
      <c r="N29" s="29" t="n">
        <f aca="false">M29+F29</f>
        <v>47</v>
      </c>
      <c r="O29" s="29" t="n">
        <f aca="false">N29+G29</f>
        <v>58</v>
      </c>
      <c r="P29" s="29" t="n">
        <f aca="false">O29+H29</f>
        <v>66</v>
      </c>
      <c r="Q29" s="29" t="n">
        <f aca="false">P29+I29</f>
        <v>75</v>
      </c>
    </row>
    <row r="30" customFormat="false" ht="15" hidden="false" customHeight="false" outlineLevel="0" collapsed="false">
      <c r="A30" s="29" t="n">
        <v>29</v>
      </c>
      <c r="B30" s="29" t="n">
        <f aca="false">INDEX(Sprint_Metrics!$F$7:$F$16,RANDBETWEEN(1,ROWS(Sprint_Metrics!$F$7:$F$16)))</f>
        <v>12</v>
      </c>
      <c r="C30" s="29" t="n">
        <f aca="false">INDEX(Sprint_Metrics!$F$7:$F$16,RANDBETWEEN(1,ROWS(Sprint_Metrics!$F$7:$F$16)))</f>
        <v>9</v>
      </c>
      <c r="D30" s="29" t="n">
        <f aca="false">INDEX(Sprint_Metrics!$F$7:$F$16,RANDBETWEEN(1,ROWS(Sprint_Metrics!$F$7:$F$16)))</f>
        <v>8</v>
      </c>
      <c r="E30" s="29" t="n">
        <f aca="false">INDEX(Sprint_Metrics!$F$7:$F$16,RANDBETWEEN(1,ROWS(Sprint_Metrics!$F$7:$F$16)))</f>
        <v>12</v>
      </c>
      <c r="F30" s="29" t="n">
        <f aca="false">INDEX(Sprint_Metrics!$F$7:$F$16,RANDBETWEEN(1,ROWS(Sprint_Metrics!$F$7:$F$16)))</f>
        <v>8</v>
      </c>
      <c r="G30" s="29" t="n">
        <f aca="false">INDEX(Sprint_Metrics!$F$7:$F$16,RANDBETWEEN(1,ROWS(Sprint_Metrics!$F$7:$F$16)))</f>
        <v>8</v>
      </c>
      <c r="H30" s="29" t="n">
        <f aca="false">INDEX(Sprint_Metrics!$F$7:$F$16,RANDBETWEEN(1,ROWS(Sprint_Metrics!$F$7:$F$16)))</f>
        <v>7</v>
      </c>
      <c r="I30" s="29" t="n">
        <f aca="false">INDEX(Sprint_Metrics!$F$7:$F$16,RANDBETWEEN(1,ROWS(Sprint_Metrics!$F$7:$F$16)))</f>
        <v>11</v>
      </c>
      <c r="J30" s="29" t="n">
        <f aca="false">B30</f>
        <v>12</v>
      </c>
      <c r="K30" s="29" t="n">
        <f aca="false">J30+C30</f>
        <v>21</v>
      </c>
      <c r="L30" s="29" t="n">
        <f aca="false">K30+D30</f>
        <v>29</v>
      </c>
      <c r="M30" s="29" t="n">
        <f aca="false">L30+E30</f>
        <v>41</v>
      </c>
      <c r="N30" s="29" t="n">
        <f aca="false">M30+F30</f>
        <v>49</v>
      </c>
      <c r="O30" s="29" t="n">
        <f aca="false">N30+G30</f>
        <v>57</v>
      </c>
      <c r="P30" s="29" t="n">
        <f aca="false">O30+H30</f>
        <v>64</v>
      </c>
      <c r="Q30" s="29" t="n">
        <f aca="false">P30+I30</f>
        <v>75</v>
      </c>
    </row>
    <row r="31" customFormat="false" ht="15" hidden="false" customHeight="false" outlineLevel="0" collapsed="false">
      <c r="A31" s="29" t="n">
        <v>30</v>
      </c>
      <c r="B31" s="29" t="n">
        <f aca="false">INDEX(Sprint_Metrics!$F$7:$F$16,RANDBETWEEN(1,ROWS(Sprint_Metrics!$F$7:$F$16)))</f>
        <v>7</v>
      </c>
      <c r="C31" s="29" t="n">
        <f aca="false">INDEX(Sprint_Metrics!$F$7:$F$16,RANDBETWEEN(1,ROWS(Sprint_Metrics!$F$7:$F$16)))</f>
        <v>8</v>
      </c>
      <c r="D31" s="29" t="n">
        <f aca="false">INDEX(Sprint_Metrics!$F$7:$F$16,RANDBETWEEN(1,ROWS(Sprint_Metrics!$F$7:$F$16)))</f>
        <v>12</v>
      </c>
      <c r="E31" s="29" t="n">
        <f aca="false">INDEX(Sprint_Metrics!$F$7:$F$16,RANDBETWEEN(1,ROWS(Sprint_Metrics!$F$7:$F$16)))</f>
        <v>8</v>
      </c>
      <c r="F31" s="29" t="n">
        <f aca="false">INDEX(Sprint_Metrics!$F$7:$F$16,RANDBETWEEN(1,ROWS(Sprint_Metrics!$F$7:$F$16)))</f>
        <v>8</v>
      </c>
      <c r="G31" s="29" t="n">
        <f aca="false">INDEX(Sprint_Metrics!$F$7:$F$16,RANDBETWEEN(1,ROWS(Sprint_Metrics!$F$7:$F$16)))</f>
        <v>8</v>
      </c>
      <c r="H31" s="29" t="n">
        <f aca="false">INDEX(Sprint_Metrics!$F$7:$F$16,RANDBETWEEN(1,ROWS(Sprint_Metrics!$F$7:$F$16)))</f>
        <v>8</v>
      </c>
      <c r="I31" s="29" t="n">
        <f aca="false">INDEX(Sprint_Metrics!$F$7:$F$16,RANDBETWEEN(1,ROWS(Sprint_Metrics!$F$7:$F$16)))</f>
        <v>9</v>
      </c>
      <c r="J31" s="29" t="n">
        <f aca="false">B31</f>
        <v>7</v>
      </c>
      <c r="K31" s="29" t="n">
        <f aca="false">J31+C31</f>
        <v>15</v>
      </c>
      <c r="L31" s="29" t="n">
        <f aca="false">K31+D31</f>
        <v>27</v>
      </c>
      <c r="M31" s="29" t="n">
        <f aca="false">L31+E31</f>
        <v>35</v>
      </c>
      <c r="N31" s="29" t="n">
        <f aca="false">M31+F31</f>
        <v>43</v>
      </c>
      <c r="O31" s="29" t="n">
        <f aca="false">N31+G31</f>
        <v>51</v>
      </c>
      <c r="P31" s="29" t="n">
        <f aca="false">O31+H31</f>
        <v>59</v>
      </c>
      <c r="Q31" s="29" t="n">
        <f aca="false">P31+I31</f>
        <v>68</v>
      </c>
    </row>
    <row r="32" customFormat="false" ht="15" hidden="false" customHeight="false" outlineLevel="0" collapsed="false">
      <c r="A32" s="29" t="n">
        <v>31</v>
      </c>
      <c r="B32" s="29" t="n">
        <f aca="false">INDEX(Sprint_Metrics!$F$7:$F$16,RANDBETWEEN(1,ROWS(Sprint_Metrics!$F$7:$F$16)))</f>
        <v>7</v>
      </c>
      <c r="C32" s="29" t="n">
        <f aca="false">INDEX(Sprint_Metrics!$F$7:$F$16,RANDBETWEEN(1,ROWS(Sprint_Metrics!$F$7:$F$16)))</f>
        <v>9</v>
      </c>
      <c r="D32" s="29" t="n">
        <f aca="false">INDEX(Sprint_Metrics!$F$7:$F$16,RANDBETWEEN(1,ROWS(Sprint_Metrics!$F$7:$F$16)))</f>
        <v>8</v>
      </c>
      <c r="E32" s="29" t="n">
        <f aca="false">INDEX(Sprint_Metrics!$F$7:$F$16,RANDBETWEEN(1,ROWS(Sprint_Metrics!$F$7:$F$16)))</f>
        <v>9</v>
      </c>
      <c r="F32" s="29" t="n">
        <f aca="false">INDEX(Sprint_Metrics!$F$7:$F$16,RANDBETWEEN(1,ROWS(Sprint_Metrics!$F$7:$F$16)))</f>
        <v>9</v>
      </c>
      <c r="G32" s="29" t="n">
        <f aca="false">INDEX(Sprint_Metrics!$F$7:$F$16,RANDBETWEEN(1,ROWS(Sprint_Metrics!$F$7:$F$16)))</f>
        <v>8</v>
      </c>
      <c r="H32" s="29" t="n">
        <f aca="false">INDEX(Sprint_Metrics!$F$7:$F$16,RANDBETWEEN(1,ROWS(Sprint_Metrics!$F$7:$F$16)))</f>
        <v>12</v>
      </c>
      <c r="I32" s="29" t="n">
        <f aca="false">INDEX(Sprint_Metrics!$F$7:$F$16,RANDBETWEEN(1,ROWS(Sprint_Metrics!$F$7:$F$16)))</f>
        <v>12</v>
      </c>
      <c r="J32" s="29" t="n">
        <f aca="false">B32</f>
        <v>7</v>
      </c>
      <c r="K32" s="29" t="n">
        <f aca="false">J32+C32</f>
        <v>16</v>
      </c>
      <c r="L32" s="29" t="n">
        <f aca="false">K32+D32</f>
        <v>24</v>
      </c>
      <c r="M32" s="29" t="n">
        <f aca="false">L32+E32</f>
        <v>33</v>
      </c>
      <c r="N32" s="29" t="n">
        <f aca="false">M32+F32</f>
        <v>42</v>
      </c>
      <c r="O32" s="29" t="n">
        <f aca="false">N32+G32</f>
        <v>50</v>
      </c>
      <c r="P32" s="29" t="n">
        <f aca="false">O32+H32</f>
        <v>62</v>
      </c>
      <c r="Q32" s="29" t="n">
        <f aca="false">P32+I32</f>
        <v>74</v>
      </c>
    </row>
    <row r="33" customFormat="false" ht="15" hidden="false" customHeight="false" outlineLevel="0" collapsed="false">
      <c r="A33" s="29" t="n">
        <v>32</v>
      </c>
      <c r="B33" s="29" t="n">
        <f aca="false">INDEX(Sprint_Metrics!$F$7:$F$16,RANDBETWEEN(1,ROWS(Sprint_Metrics!$F$7:$F$16)))</f>
        <v>9</v>
      </c>
      <c r="C33" s="29" t="n">
        <f aca="false">INDEX(Sprint_Metrics!$F$7:$F$16,RANDBETWEEN(1,ROWS(Sprint_Metrics!$F$7:$F$16)))</f>
        <v>9</v>
      </c>
      <c r="D33" s="29" t="n">
        <f aca="false">INDEX(Sprint_Metrics!$F$7:$F$16,RANDBETWEEN(1,ROWS(Sprint_Metrics!$F$7:$F$16)))</f>
        <v>7</v>
      </c>
      <c r="E33" s="29" t="n">
        <f aca="false">INDEX(Sprint_Metrics!$F$7:$F$16,RANDBETWEEN(1,ROWS(Sprint_Metrics!$F$7:$F$16)))</f>
        <v>12</v>
      </c>
      <c r="F33" s="29" t="n">
        <f aca="false">INDEX(Sprint_Metrics!$F$7:$F$16,RANDBETWEEN(1,ROWS(Sprint_Metrics!$F$7:$F$16)))</f>
        <v>8</v>
      </c>
      <c r="G33" s="29" t="n">
        <f aca="false">INDEX(Sprint_Metrics!$F$7:$F$16,RANDBETWEEN(1,ROWS(Sprint_Metrics!$F$7:$F$16)))</f>
        <v>8</v>
      </c>
      <c r="H33" s="29" t="n">
        <f aca="false">INDEX(Sprint_Metrics!$F$7:$F$16,RANDBETWEEN(1,ROWS(Sprint_Metrics!$F$7:$F$16)))</f>
        <v>9</v>
      </c>
      <c r="I33" s="29" t="n">
        <f aca="false">INDEX(Sprint_Metrics!$F$7:$F$16,RANDBETWEEN(1,ROWS(Sprint_Metrics!$F$7:$F$16)))</f>
        <v>8</v>
      </c>
      <c r="J33" s="29" t="n">
        <f aca="false">B33</f>
        <v>9</v>
      </c>
      <c r="K33" s="29" t="n">
        <f aca="false">J33+C33</f>
        <v>18</v>
      </c>
      <c r="L33" s="29" t="n">
        <f aca="false">K33+D33</f>
        <v>25</v>
      </c>
      <c r="M33" s="29" t="n">
        <f aca="false">L33+E33</f>
        <v>37</v>
      </c>
      <c r="N33" s="29" t="n">
        <f aca="false">M33+F33</f>
        <v>45</v>
      </c>
      <c r="O33" s="29" t="n">
        <f aca="false">N33+G33</f>
        <v>53</v>
      </c>
      <c r="P33" s="29" t="n">
        <f aca="false">O33+H33</f>
        <v>62</v>
      </c>
      <c r="Q33" s="29" t="n">
        <f aca="false">P33+I33</f>
        <v>70</v>
      </c>
    </row>
    <row r="34" customFormat="false" ht="15" hidden="false" customHeight="false" outlineLevel="0" collapsed="false">
      <c r="A34" s="29" t="n">
        <v>33</v>
      </c>
      <c r="B34" s="29" t="n">
        <f aca="false">INDEX(Sprint_Metrics!$F$7:$F$16,RANDBETWEEN(1,ROWS(Sprint_Metrics!$F$7:$F$16)))</f>
        <v>12</v>
      </c>
      <c r="C34" s="29" t="n">
        <f aca="false">INDEX(Sprint_Metrics!$F$7:$F$16,RANDBETWEEN(1,ROWS(Sprint_Metrics!$F$7:$F$16)))</f>
        <v>8</v>
      </c>
      <c r="D34" s="29" t="n">
        <f aca="false">INDEX(Sprint_Metrics!$F$7:$F$16,RANDBETWEEN(1,ROWS(Sprint_Metrics!$F$7:$F$16)))</f>
        <v>8</v>
      </c>
      <c r="E34" s="29" t="n">
        <f aca="false">INDEX(Sprint_Metrics!$F$7:$F$16,RANDBETWEEN(1,ROWS(Sprint_Metrics!$F$7:$F$16)))</f>
        <v>12</v>
      </c>
      <c r="F34" s="29" t="n">
        <f aca="false">INDEX(Sprint_Metrics!$F$7:$F$16,RANDBETWEEN(1,ROWS(Sprint_Metrics!$F$7:$F$16)))</f>
        <v>7</v>
      </c>
      <c r="G34" s="29" t="n">
        <f aca="false">INDEX(Sprint_Metrics!$F$7:$F$16,RANDBETWEEN(1,ROWS(Sprint_Metrics!$F$7:$F$16)))</f>
        <v>9</v>
      </c>
      <c r="H34" s="29" t="n">
        <f aca="false">INDEX(Sprint_Metrics!$F$7:$F$16,RANDBETWEEN(1,ROWS(Sprint_Metrics!$F$7:$F$16)))</f>
        <v>8</v>
      </c>
      <c r="I34" s="29" t="n">
        <f aca="false">INDEX(Sprint_Metrics!$F$7:$F$16,RANDBETWEEN(1,ROWS(Sprint_Metrics!$F$7:$F$16)))</f>
        <v>9</v>
      </c>
      <c r="J34" s="29" t="n">
        <f aca="false">B34</f>
        <v>12</v>
      </c>
      <c r="K34" s="29" t="n">
        <f aca="false">J34+C34</f>
        <v>20</v>
      </c>
      <c r="L34" s="29" t="n">
        <f aca="false">K34+D34</f>
        <v>28</v>
      </c>
      <c r="M34" s="29" t="n">
        <f aca="false">L34+E34</f>
        <v>40</v>
      </c>
      <c r="N34" s="29" t="n">
        <f aca="false">M34+F34</f>
        <v>47</v>
      </c>
      <c r="O34" s="29" t="n">
        <f aca="false">N34+G34</f>
        <v>56</v>
      </c>
      <c r="P34" s="29" t="n">
        <f aca="false">O34+H34</f>
        <v>64</v>
      </c>
      <c r="Q34" s="29" t="n">
        <f aca="false">P34+I34</f>
        <v>73</v>
      </c>
    </row>
    <row r="35" customFormat="false" ht="15" hidden="false" customHeight="false" outlineLevel="0" collapsed="false">
      <c r="A35" s="29" t="n">
        <v>34</v>
      </c>
      <c r="B35" s="29" t="n">
        <f aca="false">INDEX(Sprint_Metrics!$F$7:$F$16,RANDBETWEEN(1,ROWS(Sprint_Metrics!$F$7:$F$16)))</f>
        <v>9</v>
      </c>
      <c r="C35" s="29" t="n">
        <f aca="false">INDEX(Sprint_Metrics!$F$7:$F$16,RANDBETWEEN(1,ROWS(Sprint_Metrics!$F$7:$F$16)))</f>
        <v>7</v>
      </c>
      <c r="D35" s="29" t="n">
        <f aca="false">INDEX(Sprint_Metrics!$F$7:$F$16,RANDBETWEEN(1,ROWS(Sprint_Metrics!$F$7:$F$16)))</f>
        <v>11</v>
      </c>
      <c r="E35" s="29" t="n">
        <f aca="false">INDEX(Sprint_Metrics!$F$7:$F$16,RANDBETWEEN(1,ROWS(Sprint_Metrics!$F$7:$F$16)))</f>
        <v>7</v>
      </c>
      <c r="F35" s="29" t="n">
        <f aca="false">INDEX(Sprint_Metrics!$F$7:$F$16,RANDBETWEEN(1,ROWS(Sprint_Metrics!$F$7:$F$16)))</f>
        <v>12</v>
      </c>
      <c r="G35" s="29" t="n">
        <f aca="false">INDEX(Sprint_Metrics!$F$7:$F$16,RANDBETWEEN(1,ROWS(Sprint_Metrics!$F$7:$F$16)))</f>
        <v>8</v>
      </c>
      <c r="H35" s="29" t="n">
        <f aca="false">INDEX(Sprint_Metrics!$F$7:$F$16,RANDBETWEEN(1,ROWS(Sprint_Metrics!$F$7:$F$16)))</f>
        <v>9</v>
      </c>
      <c r="I35" s="29" t="n">
        <f aca="false">INDEX(Sprint_Metrics!$F$7:$F$16,RANDBETWEEN(1,ROWS(Sprint_Metrics!$F$7:$F$16)))</f>
        <v>12</v>
      </c>
      <c r="J35" s="29" t="n">
        <f aca="false">B35</f>
        <v>9</v>
      </c>
      <c r="K35" s="29" t="n">
        <f aca="false">J35+C35</f>
        <v>16</v>
      </c>
      <c r="L35" s="29" t="n">
        <f aca="false">K35+D35</f>
        <v>27</v>
      </c>
      <c r="M35" s="29" t="n">
        <f aca="false">L35+E35</f>
        <v>34</v>
      </c>
      <c r="N35" s="29" t="n">
        <f aca="false">M35+F35</f>
        <v>46</v>
      </c>
      <c r="O35" s="29" t="n">
        <f aca="false">N35+G35</f>
        <v>54</v>
      </c>
      <c r="P35" s="29" t="n">
        <f aca="false">O35+H35</f>
        <v>63</v>
      </c>
      <c r="Q35" s="29" t="n">
        <f aca="false">P35+I35</f>
        <v>75</v>
      </c>
    </row>
    <row r="36" customFormat="false" ht="15" hidden="false" customHeight="false" outlineLevel="0" collapsed="false">
      <c r="A36" s="29" t="n">
        <v>35</v>
      </c>
      <c r="B36" s="29" t="n">
        <f aca="false">INDEX(Sprint_Metrics!$F$7:$F$16,RANDBETWEEN(1,ROWS(Sprint_Metrics!$F$7:$F$16)))</f>
        <v>7</v>
      </c>
      <c r="C36" s="29" t="n">
        <f aca="false">INDEX(Sprint_Metrics!$F$7:$F$16,RANDBETWEEN(1,ROWS(Sprint_Metrics!$F$7:$F$16)))</f>
        <v>12</v>
      </c>
      <c r="D36" s="29" t="n">
        <f aca="false">INDEX(Sprint_Metrics!$F$7:$F$16,RANDBETWEEN(1,ROWS(Sprint_Metrics!$F$7:$F$16)))</f>
        <v>8</v>
      </c>
      <c r="E36" s="29" t="n">
        <f aca="false">INDEX(Sprint_Metrics!$F$7:$F$16,RANDBETWEEN(1,ROWS(Sprint_Metrics!$F$7:$F$16)))</f>
        <v>8</v>
      </c>
      <c r="F36" s="29" t="n">
        <f aca="false">INDEX(Sprint_Metrics!$F$7:$F$16,RANDBETWEEN(1,ROWS(Sprint_Metrics!$F$7:$F$16)))</f>
        <v>7</v>
      </c>
      <c r="G36" s="29" t="n">
        <f aca="false">INDEX(Sprint_Metrics!$F$7:$F$16,RANDBETWEEN(1,ROWS(Sprint_Metrics!$F$7:$F$16)))</f>
        <v>8</v>
      </c>
      <c r="H36" s="29" t="n">
        <f aca="false">INDEX(Sprint_Metrics!$F$7:$F$16,RANDBETWEEN(1,ROWS(Sprint_Metrics!$F$7:$F$16)))</f>
        <v>9</v>
      </c>
      <c r="I36" s="29" t="n">
        <f aca="false">INDEX(Sprint_Metrics!$F$7:$F$16,RANDBETWEEN(1,ROWS(Sprint_Metrics!$F$7:$F$16)))</f>
        <v>11</v>
      </c>
      <c r="J36" s="29" t="n">
        <f aca="false">B36</f>
        <v>7</v>
      </c>
      <c r="K36" s="29" t="n">
        <f aca="false">J36+C36</f>
        <v>19</v>
      </c>
      <c r="L36" s="29" t="n">
        <f aca="false">K36+D36</f>
        <v>27</v>
      </c>
      <c r="M36" s="29" t="n">
        <f aca="false">L36+E36</f>
        <v>35</v>
      </c>
      <c r="N36" s="29" t="n">
        <f aca="false">M36+F36</f>
        <v>42</v>
      </c>
      <c r="O36" s="29" t="n">
        <f aca="false">N36+G36</f>
        <v>50</v>
      </c>
      <c r="P36" s="29" t="n">
        <f aca="false">O36+H36</f>
        <v>59</v>
      </c>
      <c r="Q36" s="29" t="n">
        <f aca="false">P36+I36</f>
        <v>70</v>
      </c>
    </row>
    <row r="37" customFormat="false" ht="15" hidden="false" customHeight="false" outlineLevel="0" collapsed="false">
      <c r="A37" s="29" t="n">
        <v>36</v>
      </c>
      <c r="B37" s="29" t="n">
        <f aca="false">INDEX(Sprint_Metrics!$F$7:$F$16,RANDBETWEEN(1,ROWS(Sprint_Metrics!$F$7:$F$16)))</f>
        <v>11</v>
      </c>
      <c r="C37" s="29" t="n">
        <f aca="false">INDEX(Sprint_Metrics!$F$7:$F$16,RANDBETWEEN(1,ROWS(Sprint_Metrics!$F$7:$F$16)))</f>
        <v>9</v>
      </c>
      <c r="D37" s="29" t="n">
        <f aca="false">INDEX(Sprint_Metrics!$F$7:$F$16,RANDBETWEEN(1,ROWS(Sprint_Metrics!$F$7:$F$16)))</f>
        <v>8</v>
      </c>
      <c r="E37" s="29" t="n">
        <f aca="false">INDEX(Sprint_Metrics!$F$7:$F$16,RANDBETWEEN(1,ROWS(Sprint_Metrics!$F$7:$F$16)))</f>
        <v>8</v>
      </c>
      <c r="F37" s="29" t="n">
        <f aca="false">INDEX(Sprint_Metrics!$F$7:$F$16,RANDBETWEEN(1,ROWS(Sprint_Metrics!$F$7:$F$16)))</f>
        <v>12</v>
      </c>
      <c r="G37" s="29" t="n">
        <f aca="false">INDEX(Sprint_Metrics!$F$7:$F$16,RANDBETWEEN(1,ROWS(Sprint_Metrics!$F$7:$F$16)))</f>
        <v>8</v>
      </c>
      <c r="H37" s="29" t="n">
        <f aca="false">INDEX(Sprint_Metrics!$F$7:$F$16,RANDBETWEEN(1,ROWS(Sprint_Metrics!$F$7:$F$16)))</f>
        <v>7</v>
      </c>
      <c r="I37" s="29" t="n">
        <f aca="false">INDEX(Sprint_Metrics!$F$7:$F$16,RANDBETWEEN(1,ROWS(Sprint_Metrics!$F$7:$F$16)))</f>
        <v>7</v>
      </c>
      <c r="J37" s="29" t="n">
        <f aca="false">B37</f>
        <v>11</v>
      </c>
      <c r="K37" s="29" t="n">
        <f aca="false">J37+C37</f>
        <v>20</v>
      </c>
      <c r="L37" s="29" t="n">
        <f aca="false">K37+D37</f>
        <v>28</v>
      </c>
      <c r="M37" s="29" t="n">
        <f aca="false">L37+E37</f>
        <v>36</v>
      </c>
      <c r="N37" s="29" t="n">
        <f aca="false">M37+F37</f>
        <v>48</v>
      </c>
      <c r="O37" s="29" t="n">
        <f aca="false">N37+G37</f>
        <v>56</v>
      </c>
      <c r="P37" s="29" t="n">
        <f aca="false">O37+H37</f>
        <v>63</v>
      </c>
      <c r="Q37" s="29" t="n">
        <f aca="false">P37+I37</f>
        <v>70</v>
      </c>
    </row>
    <row r="38" customFormat="false" ht="15" hidden="false" customHeight="false" outlineLevel="0" collapsed="false">
      <c r="A38" s="29" t="n">
        <v>37</v>
      </c>
      <c r="B38" s="29" t="n">
        <f aca="false">INDEX(Sprint_Metrics!$F$7:$F$16,RANDBETWEEN(1,ROWS(Sprint_Metrics!$F$7:$F$16)))</f>
        <v>7</v>
      </c>
      <c r="C38" s="29" t="n">
        <f aca="false">INDEX(Sprint_Metrics!$F$7:$F$16,RANDBETWEEN(1,ROWS(Sprint_Metrics!$F$7:$F$16)))</f>
        <v>8</v>
      </c>
      <c r="D38" s="29" t="n">
        <f aca="false">INDEX(Sprint_Metrics!$F$7:$F$16,RANDBETWEEN(1,ROWS(Sprint_Metrics!$F$7:$F$16)))</f>
        <v>11</v>
      </c>
      <c r="E38" s="29" t="n">
        <f aca="false">INDEX(Sprint_Metrics!$F$7:$F$16,RANDBETWEEN(1,ROWS(Sprint_Metrics!$F$7:$F$16)))</f>
        <v>8</v>
      </c>
      <c r="F38" s="29" t="n">
        <f aca="false">INDEX(Sprint_Metrics!$F$7:$F$16,RANDBETWEEN(1,ROWS(Sprint_Metrics!$F$7:$F$16)))</f>
        <v>11</v>
      </c>
      <c r="G38" s="29" t="n">
        <f aca="false">INDEX(Sprint_Metrics!$F$7:$F$16,RANDBETWEEN(1,ROWS(Sprint_Metrics!$F$7:$F$16)))</f>
        <v>8</v>
      </c>
      <c r="H38" s="29" t="n">
        <f aca="false">INDEX(Sprint_Metrics!$F$7:$F$16,RANDBETWEEN(1,ROWS(Sprint_Metrics!$F$7:$F$16)))</f>
        <v>12</v>
      </c>
      <c r="I38" s="29" t="n">
        <f aca="false">INDEX(Sprint_Metrics!$F$7:$F$16,RANDBETWEEN(1,ROWS(Sprint_Metrics!$F$7:$F$16)))</f>
        <v>8</v>
      </c>
      <c r="J38" s="29" t="n">
        <f aca="false">B38</f>
        <v>7</v>
      </c>
      <c r="K38" s="29" t="n">
        <f aca="false">J38+C38</f>
        <v>15</v>
      </c>
      <c r="L38" s="29" t="n">
        <f aca="false">K38+D38</f>
        <v>26</v>
      </c>
      <c r="M38" s="29" t="n">
        <f aca="false">L38+E38</f>
        <v>34</v>
      </c>
      <c r="N38" s="29" t="n">
        <f aca="false">M38+F38</f>
        <v>45</v>
      </c>
      <c r="O38" s="29" t="n">
        <f aca="false">N38+G38</f>
        <v>53</v>
      </c>
      <c r="P38" s="29" t="n">
        <f aca="false">O38+H38</f>
        <v>65</v>
      </c>
      <c r="Q38" s="29" t="n">
        <f aca="false">P38+I38</f>
        <v>73</v>
      </c>
    </row>
    <row r="39" customFormat="false" ht="15" hidden="false" customHeight="false" outlineLevel="0" collapsed="false">
      <c r="A39" s="29" t="n">
        <v>38</v>
      </c>
      <c r="B39" s="29" t="n">
        <f aca="false">INDEX(Sprint_Metrics!$F$7:$F$16,RANDBETWEEN(1,ROWS(Sprint_Metrics!$F$7:$F$16)))</f>
        <v>8</v>
      </c>
      <c r="C39" s="29" t="n">
        <f aca="false">INDEX(Sprint_Metrics!$F$7:$F$16,RANDBETWEEN(1,ROWS(Sprint_Metrics!$F$7:$F$16)))</f>
        <v>8</v>
      </c>
      <c r="D39" s="29" t="n">
        <f aca="false">INDEX(Sprint_Metrics!$F$7:$F$16,RANDBETWEEN(1,ROWS(Sprint_Metrics!$F$7:$F$16)))</f>
        <v>7</v>
      </c>
      <c r="E39" s="29" t="n">
        <f aca="false">INDEX(Sprint_Metrics!$F$7:$F$16,RANDBETWEEN(1,ROWS(Sprint_Metrics!$F$7:$F$16)))</f>
        <v>8</v>
      </c>
      <c r="F39" s="29" t="n">
        <f aca="false">INDEX(Sprint_Metrics!$F$7:$F$16,RANDBETWEEN(1,ROWS(Sprint_Metrics!$F$7:$F$16)))</f>
        <v>12</v>
      </c>
      <c r="G39" s="29" t="n">
        <f aca="false">INDEX(Sprint_Metrics!$F$7:$F$16,RANDBETWEEN(1,ROWS(Sprint_Metrics!$F$7:$F$16)))</f>
        <v>11</v>
      </c>
      <c r="H39" s="29" t="n">
        <f aca="false">INDEX(Sprint_Metrics!$F$7:$F$16,RANDBETWEEN(1,ROWS(Sprint_Metrics!$F$7:$F$16)))</f>
        <v>12</v>
      </c>
      <c r="I39" s="29" t="n">
        <f aca="false">INDEX(Sprint_Metrics!$F$7:$F$16,RANDBETWEEN(1,ROWS(Sprint_Metrics!$F$7:$F$16)))</f>
        <v>8</v>
      </c>
      <c r="J39" s="29" t="n">
        <f aca="false">B39</f>
        <v>8</v>
      </c>
      <c r="K39" s="29" t="n">
        <f aca="false">J39+C39</f>
        <v>16</v>
      </c>
      <c r="L39" s="29" t="n">
        <f aca="false">K39+D39</f>
        <v>23</v>
      </c>
      <c r="M39" s="29" t="n">
        <f aca="false">L39+E39</f>
        <v>31</v>
      </c>
      <c r="N39" s="29" t="n">
        <f aca="false">M39+F39</f>
        <v>43</v>
      </c>
      <c r="O39" s="29" t="n">
        <f aca="false">N39+G39</f>
        <v>54</v>
      </c>
      <c r="P39" s="29" t="n">
        <f aca="false">O39+H39</f>
        <v>66</v>
      </c>
      <c r="Q39" s="29" t="n">
        <f aca="false">P39+I39</f>
        <v>74</v>
      </c>
    </row>
    <row r="40" customFormat="false" ht="15" hidden="false" customHeight="false" outlineLevel="0" collapsed="false">
      <c r="A40" s="29" t="n">
        <v>39</v>
      </c>
      <c r="B40" s="29" t="n">
        <f aca="false">INDEX(Sprint_Metrics!$F$7:$F$16,RANDBETWEEN(1,ROWS(Sprint_Metrics!$F$7:$F$16)))</f>
        <v>9</v>
      </c>
      <c r="C40" s="29" t="n">
        <f aca="false">INDEX(Sprint_Metrics!$F$7:$F$16,RANDBETWEEN(1,ROWS(Sprint_Metrics!$F$7:$F$16)))</f>
        <v>7</v>
      </c>
      <c r="D40" s="29" t="n">
        <f aca="false">INDEX(Sprint_Metrics!$F$7:$F$16,RANDBETWEEN(1,ROWS(Sprint_Metrics!$F$7:$F$16)))</f>
        <v>9</v>
      </c>
      <c r="E40" s="29" t="n">
        <f aca="false">INDEX(Sprint_Metrics!$F$7:$F$16,RANDBETWEEN(1,ROWS(Sprint_Metrics!$F$7:$F$16)))</f>
        <v>7</v>
      </c>
      <c r="F40" s="29" t="n">
        <f aca="false">INDEX(Sprint_Metrics!$F$7:$F$16,RANDBETWEEN(1,ROWS(Sprint_Metrics!$F$7:$F$16)))</f>
        <v>8</v>
      </c>
      <c r="G40" s="29" t="n">
        <f aca="false">INDEX(Sprint_Metrics!$F$7:$F$16,RANDBETWEEN(1,ROWS(Sprint_Metrics!$F$7:$F$16)))</f>
        <v>8</v>
      </c>
      <c r="H40" s="29" t="n">
        <f aca="false">INDEX(Sprint_Metrics!$F$7:$F$16,RANDBETWEEN(1,ROWS(Sprint_Metrics!$F$7:$F$16)))</f>
        <v>8</v>
      </c>
      <c r="I40" s="29" t="n">
        <f aca="false">INDEX(Sprint_Metrics!$F$7:$F$16,RANDBETWEEN(1,ROWS(Sprint_Metrics!$F$7:$F$16)))</f>
        <v>8</v>
      </c>
      <c r="J40" s="29" t="n">
        <f aca="false">B40</f>
        <v>9</v>
      </c>
      <c r="K40" s="29" t="n">
        <f aca="false">J40+C40</f>
        <v>16</v>
      </c>
      <c r="L40" s="29" t="n">
        <f aca="false">K40+D40</f>
        <v>25</v>
      </c>
      <c r="M40" s="29" t="n">
        <f aca="false">L40+E40</f>
        <v>32</v>
      </c>
      <c r="N40" s="29" t="n">
        <f aca="false">M40+F40</f>
        <v>40</v>
      </c>
      <c r="O40" s="29" t="n">
        <f aca="false">N40+G40</f>
        <v>48</v>
      </c>
      <c r="P40" s="29" t="n">
        <f aca="false">O40+H40</f>
        <v>56</v>
      </c>
      <c r="Q40" s="29" t="n">
        <f aca="false">P40+I40</f>
        <v>64</v>
      </c>
    </row>
    <row r="41" customFormat="false" ht="15" hidden="false" customHeight="false" outlineLevel="0" collapsed="false">
      <c r="A41" s="29" t="n">
        <v>40</v>
      </c>
      <c r="B41" s="29" t="n">
        <f aca="false">INDEX(Sprint_Metrics!$F$7:$F$16,RANDBETWEEN(1,ROWS(Sprint_Metrics!$F$7:$F$16)))</f>
        <v>11</v>
      </c>
      <c r="C41" s="29" t="n">
        <f aca="false">INDEX(Sprint_Metrics!$F$7:$F$16,RANDBETWEEN(1,ROWS(Sprint_Metrics!$F$7:$F$16)))</f>
        <v>8</v>
      </c>
      <c r="D41" s="29" t="n">
        <f aca="false">INDEX(Sprint_Metrics!$F$7:$F$16,RANDBETWEEN(1,ROWS(Sprint_Metrics!$F$7:$F$16)))</f>
        <v>7</v>
      </c>
      <c r="E41" s="29" t="n">
        <f aca="false">INDEX(Sprint_Metrics!$F$7:$F$16,RANDBETWEEN(1,ROWS(Sprint_Metrics!$F$7:$F$16)))</f>
        <v>8</v>
      </c>
      <c r="F41" s="29" t="n">
        <f aca="false">INDEX(Sprint_Metrics!$F$7:$F$16,RANDBETWEEN(1,ROWS(Sprint_Metrics!$F$7:$F$16)))</f>
        <v>8</v>
      </c>
      <c r="G41" s="29" t="n">
        <f aca="false">INDEX(Sprint_Metrics!$F$7:$F$16,RANDBETWEEN(1,ROWS(Sprint_Metrics!$F$7:$F$16)))</f>
        <v>12</v>
      </c>
      <c r="H41" s="29" t="n">
        <f aca="false">INDEX(Sprint_Metrics!$F$7:$F$16,RANDBETWEEN(1,ROWS(Sprint_Metrics!$F$7:$F$16)))</f>
        <v>11</v>
      </c>
      <c r="I41" s="29" t="n">
        <f aca="false">INDEX(Sprint_Metrics!$F$7:$F$16,RANDBETWEEN(1,ROWS(Sprint_Metrics!$F$7:$F$16)))</f>
        <v>11</v>
      </c>
      <c r="J41" s="29" t="n">
        <f aca="false">B41</f>
        <v>11</v>
      </c>
      <c r="K41" s="29" t="n">
        <f aca="false">J41+C41</f>
        <v>19</v>
      </c>
      <c r="L41" s="29" t="n">
        <f aca="false">K41+D41</f>
        <v>26</v>
      </c>
      <c r="M41" s="29" t="n">
        <f aca="false">L41+E41</f>
        <v>34</v>
      </c>
      <c r="N41" s="29" t="n">
        <f aca="false">M41+F41</f>
        <v>42</v>
      </c>
      <c r="O41" s="29" t="n">
        <f aca="false">N41+G41</f>
        <v>54</v>
      </c>
      <c r="P41" s="29" t="n">
        <f aca="false">O41+H41</f>
        <v>65</v>
      </c>
      <c r="Q41" s="29" t="n">
        <f aca="false">P41+I41</f>
        <v>76</v>
      </c>
    </row>
    <row r="42" customFormat="false" ht="15" hidden="false" customHeight="false" outlineLevel="0" collapsed="false">
      <c r="A42" s="29" t="n">
        <v>41</v>
      </c>
      <c r="B42" s="29" t="n">
        <f aca="false">INDEX(Sprint_Metrics!$F$7:$F$16,RANDBETWEEN(1,ROWS(Sprint_Metrics!$F$7:$F$16)))</f>
        <v>8</v>
      </c>
      <c r="C42" s="29" t="n">
        <f aca="false">INDEX(Sprint_Metrics!$F$7:$F$16,RANDBETWEEN(1,ROWS(Sprint_Metrics!$F$7:$F$16)))</f>
        <v>8</v>
      </c>
      <c r="D42" s="29" t="n">
        <f aca="false">INDEX(Sprint_Metrics!$F$7:$F$16,RANDBETWEEN(1,ROWS(Sprint_Metrics!$F$7:$F$16)))</f>
        <v>8</v>
      </c>
      <c r="E42" s="29" t="n">
        <f aca="false">INDEX(Sprint_Metrics!$F$7:$F$16,RANDBETWEEN(1,ROWS(Sprint_Metrics!$F$7:$F$16)))</f>
        <v>9</v>
      </c>
      <c r="F42" s="29" t="n">
        <f aca="false">INDEX(Sprint_Metrics!$F$7:$F$16,RANDBETWEEN(1,ROWS(Sprint_Metrics!$F$7:$F$16)))</f>
        <v>7</v>
      </c>
      <c r="G42" s="29" t="n">
        <f aca="false">INDEX(Sprint_Metrics!$F$7:$F$16,RANDBETWEEN(1,ROWS(Sprint_Metrics!$F$7:$F$16)))</f>
        <v>8</v>
      </c>
      <c r="H42" s="29" t="n">
        <f aca="false">INDEX(Sprint_Metrics!$F$7:$F$16,RANDBETWEEN(1,ROWS(Sprint_Metrics!$F$7:$F$16)))</f>
        <v>11</v>
      </c>
      <c r="I42" s="29" t="n">
        <f aca="false">INDEX(Sprint_Metrics!$F$7:$F$16,RANDBETWEEN(1,ROWS(Sprint_Metrics!$F$7:$F$16)))</f>
        <v>8</v>
      </c>
      <c r="J42" s="29" t="n">
        <f aca="false">B42</f>
        <v>8</v>
      </c>
      <c r="K42" s="29" t="n">
        <f aca="false">J42+C42</f>
        <v>16</v>
      </c>
      <c r="L42" s="29" t="n">
        <f aca="false">K42+D42</f>
        <v>24</v>
      </c>
      <c r="M42" s="29" t="n">
        <f aca="false">L42+E42</f>
        <v>33</v>
      </c>
      <c r="N42" s="29" t="n">
        <f aca="false">M42+F42</f>
        <v>40</v>
      </c>
      <c r="O42" s="29" t="n">
        <f aca="false">N42+G42</f>
        <v>48</v>
      </c>
      <c r="P42" s="29" t="n">
        <f aca="false">O42+H42</f>
        <v>59</v>
      </c>
      <c r="Q42" s="29" t="n">
        <f aca="false">P42+I42</f>
        <v>67</v>
      </c>
    </row>
    <row r="43" customFormat="false" ht="15" hidden="false" customHeight="false" outlineLevel="0" collapsed="false">
      <c r="A43" s="29" t="n">
        <v>42</v>
      </c>
      <c r="B43" s="29" t="n">
        <f aca="false">INDEX(Sprint_Metrics!$F$7:$F$16,RANDBETWEEN(1,ROWS(Sprint_Metrics!$F$7:$F$16)))</f>
        <v>8</v>
      </c>
      <c r="C43" s="29" t="n">
        <f aca="false">INDEX(Sprint_Metrics!$F$7:$F$16,RANDBETWEEN(1,ROWS(Sprint_Metrics!$F$7:$F$16)))</f>
        <v>7</v>
      </c>
      <c r="D43" s="29" t="n">
        <f aca="false">INDEX(Sprint_Metrics!$F$7:$F$16,RANDBETWEEN(1,ROWS(Sprint_Metrics!$F$7:$F$16)))</f>
        <v>11</v>
      </c>
      <c r="E43" s="29" t="n">
        <f aca="false">INDEX(Sprint_Metrics!$F$7:$F$16,RANDBETWEEN(1,ROWS(Sprint_Metrics!$F$7:$F$16)))</f>
        <v>7</v>
      </c>
      <c r="F43" s="29" t="n">
        <f aca="false">INDEX(Sprint_Metrics!$F$7:$F$16,RANDBETWEEN(1,ROWS(Sprint_Metrics!$F$7:$F$16)))</f>
        <v>9</v>
      </c>
      <c r="G43" s="29" t="n">
        <f aca="false">INDEX(Sprint_Metrics!$F$7:$F$16,RANDBETWEEN(1,ROWS(Sprint_Metrics!$F$7:$F$16)))</f>
        <v>8</v>
      </c>
      <c r="H43" s="29" t="n">
        <f aca="false">INDEX(Sprint_Metrics!$F$7:$F$16,RANDBETWEEN(1,ROWS(Sprint_Metrics!$F$7:$F$16)))</f>
        <v>11</v>
      </c>
      <c r="I43" s="29" t="n">
        <f aca="false">INDEX(Sprint_Metrics!$F$7:$F$16,RANDBETWEEN(1,ROWS(Sprint_Metrics!$F$7:$F$16)))</f>
        <v>8</v>
      </c>
      <c r="J43" s="29" t="n">
        <f aca="false">B43</f>
        <v>8</v>
      </c>
      <c r="K43" s="29" t="n">
        <f aca="false">J43+C43</f>
        <v>15</v>
      </c>
      <c r="L43" s="29" t="n">
        <f aca="false">K43+D43</f>
        <v>26</v>
      </c>
      <c r="M43" s="29" t="n">
        <f aca="false">L43+E43</f>
        <v>33</v>
      </c>
      <c r="N43" s="29" t="n">
        <f aca="false">M43+F43</f>
        <v>42</v>
      </c>
      <c r="O43" s="29" t="n">
        <f aca="false">N43+G43</f>
        <v>50</v>
      </c>
      <c r="P43" s="29" t="n">
        <f aca="false">O43+H43</f>
        <v>61</v>
      </c>
      <c r="Q43" s="29" t="n">
        <f aca="false">P43+I43</f>
        <v>69</v>
      </c>
    </row>
    <row r="44" customFormat="false" ht="15" hidden="false" customHeight="false" outlineLevel="0" collapsed="false">
      <c r="A44" s="29" t="n">
        <v>43</v>
      </c>
      <c r="B44" s="29" t="n">
        <f aca="false">INDEX(Sprint_Metrics!$F$7:$F$16,RANDBETWEEN(1,ROWS(Sprint_Metrics!$F$7:$F$16)))</f>
        <v>8</v>
      </c>
      <c r="C44" s="29" t="n">
        <f aca="false">INDEX(Sprint_Metrics!$F$7:$F$16,RANDBETWEEN(1,ROWS(Sprint_Metrics!$F$7:$F$16)))</f>
        <v>7</v>
      </c>
      <c r="D44" s="29" t="n">
        <f aca="false">INDEX(Sprint_Metrics!$F$7:$F$16,RANDBETWEEN(1,ROWS(Sprint_Metrics!$F$7:$F$16)))</f>
        <v>12</v>
      </c>
      <c r="E44" s="29" t="n">
        <f aca="false">INDEX(Sprint_Metrics!$F$7:$F$16,RANDBETWEEN(1,ROWS(Sprint_Metrics!$F$7:$F$16)))</f>
        <v>7</v>
      </c>
      <c r="F44" s="29" t="n">
        <f aca="false">INDEX(Sprint_Metrics!$F$7:$F$16,RANDBETWEEN(1,ROWS(Sprint_Metrics!$F$7:$F$16)))</f>
        <v>8</v>
      </c>
      <c r="G44" s="29" t="n">
        <f aca="false">INDEX(Sprint_Metrics!$F$7:$F$16,RANDBETWEEN(1,ROWS(Sprint_Metrics!$F$7:$F$16)))</f>
        <v>8</v>
      </c>
      <c r="H44" s="29" t="n">
        <f aca="false">INDEX(Sprint_Metrics!$F$7:$F$16,RANDBETWEEN(1,ROWS(Sprint_Metrics!$F$7:$F$16)))</f>
        <v>8</v>
      </c>
      <c r="I44" s="29" t="n">
        <f aca="false">INDEX(Sprint_Metrics!$F$7:$F$16,RANDBETWEEN(1,ROWS(Sprint_Metrics!$F$7:$F$16)))</f>
        <v>12</v>
      </c>
      <c r="J44" s="29" t="n">
        <f aca="false">B44</f>
        <v>8</v>
      </c>
      <c r="K44" s="29" t="n">
        <f aca="false">J44+C44</f>
        <v>15</v>
      </c>
      <c r="L44" s="29" t="n">
        <f aca="false">K44+D44</f>
        <v>27</v>
      </c>
      <c r="M44" s="29" t="n">
        <f aca="false">L44+E44</f>
        <v>34</v>
      </c>
      <c r="N44" s="29" t="n">
        <f aca="false">M44+F44</f>
        <v>42</v>
      </c>
      <c r="O44" s="29" t="n">
        <f aca="false">N44+G44</f>
        <v>50</v>
      </c>
      <c r="P44" s="29" t="n">
        <f aca="false">O44+H44</f>
        <v>58</v>
      </c>
      <c r="Q44" s="29" t="n">
        <f aca="false">P44+I44</f>
        <v>70</v>
      </c>
    </row>
    <row r="45" customFormat="false" ht="15" hidden="false" customHeight="false" outlineLevel="0" collapsed="false">
      <c r="A45" s="29" t="n">
        <v>44</v>
      </c>
      <c r="B45" s="29" t="n">
        <f aca="false">INDEX(Sprint_Metrics!$F$7:$F$16,RANDBETWEEN(1,ROWS(Sprint_Metrics!$F$7:$F$16)))</f>
        <v>11</v>
      </c>
      <c r="C45" s="29" t="n">
        <f aca="false">INDEX(Sprint_Metrics!$F$7:$F$16,RANDBETWEEN(1,ROWS(Sprint_Metrics!$F$7:$F$16)))</f>
        <v>7</v>
      </c>
      <c r="D45" s="29" t="n">
        <f aca="false">INDEX(Sprint_Metrics!$F$7:$F$16,RANDBETWEEN(1,ROWS(Sprint_Metrics!$F$7:$F$16)))</f>
        <v>7</v>
      </c>
      <c r="E45" s="29" t="n">
        <f aca="false">INDEX(Sprint_Metrics!$F$7:$F$16,RANDBETWEEN(1,ROWS(Sprint_Metrics!$F$7:$F$16)))</f>
        <v>11</v>
      </c>
      <c r="F45" s="29" t="n">
        <f aca="false">INDEX(Sprint_Metrics!$F$7:$F$16,RANDBETWEEN(1,ROWS(Sprint_Metrics!$F$7:$F$16)))</f>
        <v>8</v>
      </c>
      <c r="G45" s="29" t="n">
        <f aca="false">INDEX(Sprint_Metrics!$F$7:$F$16,RANDBETWEEN(1,ROWS(Sprint_Metrics!$F$7:$F$16)))</f>
        <v>8</v>
      </c>
      <c r="H45" s="29" t="n">
        <f aca="false">INDEX(Sprint_Metrics!$F$7:$F$16,RANDBETWEEN(1,ROWS(Sprint_Metrics!$F$7:$F$16)))</f>
        <v>8</v>
      </c>
      <c r="I45" s="29" t="n">
        <f aca="false">INDEX(Sprint_Metrics!$F$7:$F$16,RANDBETWEEN(1,ROWS(Sprint_Metrics!$F$7:$F$16)))</f>
        <v>9</v>
      </c>
      <c r="J45" s="29" t="n">
        <f aca="false">B45</f>
        <v>11</v>
      </c>
      <c r="K45" s="29" t="n">
        <f aca="false">J45+C45</f>
        <v>18</v>
      </c>
      <c r="L45" s="29" t="n">
        <f aca="false">K45+D45</f>
        <v>25</v>
      </c>
      <c r="M45" s="29" t="n">
        <f aca="false">L45+E45</f>
        <v>36</v>
      </c>
      <c r="N45" s="29" t="n">
        <f aca="false">M45+F45</f>
        <v>44</v>
      </c>
      <c r="O45" s="29" t="n">
        <f aca="false">N45+G45</f>
        <v>52</v>
      </c>
      <c r="P45" s="29" t="n">
        <f aca="false">O45+H45</f>
        <v>60</v>
      </c>
      <c r="Q45" s="29" t="n">
        <f aca="false">P45+I45</f>
        <v>69</v>
      </c>
    </row>
    <row r="46" customFormat="false" ht="15" hidden="false" customHeight="false" outlineLevel="0" collapsed="false">
      <c r="A46" s="29" t="n">
        <v>45</v>
      </c>
      <c r="B46" s="29" t="n">
        <f aca="false">INDEX(Sprint_Metrics!$F$7:$F$16,RANDBETWEEN(1,ROWS(Sprint_Metrics!$F$7:$F$16)))</f>
        <v>7</v>
      </c>
      <c r="C46" s="29" t="n">
        <f aca="false">INDEX(Sprint_Metrics!$F$7:$F$16,RANDBETWEEN(1,ROWS(Sprint_Metrics!$F$7:$F$16)))</f>
        <v>8</v>
      </c>
      <c r="D46" s="29" t="n">
        <f aca="false">INDEX(Sprint_Metrics!$F$7:$F$16,RANDBETWEEN(1,ROWS(Sprint_Metrics!$F$7:$F$16)))</f>
        <v>7</v>
      </c>
      <c r="E46" s="29" t="n">
        <f aca="false">INDEX(Sprint_Metrics!$F$7:$F$16,RANDBETWEEN(1,ROWS(Sprint_Metrics!$F$7:$F$16)))</f>
        <v>12</v>
      </c>
      <c r="F46" s="29" t="n">
        <f aca="false">INDEX(Sprint_Metrics!$F$7:$F$16,RANDBETWEEN(1,ROWS(Sprint_Metrics!$F$7:$F$16)))</f>
        <v>9</v>
      </c>
      <c r="G46" s="29" t="n">
        <f aca="false">INDEX(Sprint_Metrics!$F$7:$F$16,RANDBETWEEN(1,ROWS(Sprint_Metrics!$F$7:$F$16)))</f>
        <v>7</v>
      </c>
      <c r="H46" s="29" t="n">
        <f aca="false">INDEX(Sprint_Metrics!$F$7:$F$16,RANDBETWEEN(1,ROWS(Sprint_Metrics!$F$7:$F$16)))</f>
        <v>7</v>
      </c>
      <c r="I46" s="29" t="n">
        <f aca="false">INDEX(Sprint_Metrics!$F$7:$F$16,RANDBETWEEN(1,ROWS(Sprint_Metrics!$F$7:$F$16)))</f>
        <v>8</v>
      </c>
      <c r="J46" s="29" t="n">
        <f aca="false">B46</f>
        <v>7</v>
      </c>
      <c r="K46" s="29" t="n">
        <f aca="false">J46+C46</f>
        <v>15</v>
      </c>
      <c r="L46" s="29" t="n">
        <f aca="false">K46+D46</f>
        <v>22</v>
      </c>
      <c r="M46" s="29" t="n">
        <f aca="false">L46+E46</f>
        <v>34</v>
      </c>
      <c r="N46" s="29" t="n">
        <f aca="false">M46+F46</f>
        <v>43</v>
      </c>
      <c r="O46" s="29" t="n">
        <f aca="false">N46+G46</f>
        <v>50</v>
      </c>
      <c r="P46" s="29" t="n">
        <f aca="false">O46+H46</f>
        <v>57</v>
      </c>
      <c r="Q46" s="29" t="n">
        <f aca="false">P46+I46</f>
        <v>65</v>
      </c>
    </row>
    <row r="47" customFormat="false" ht="15" hidden="false" customHeight="false" outlineLevel="0" collapsed="false">
      <c r="A47" s="29" t="n">
        <v>46</v>
      </c>
      <c r="B47" s="29" t="n">
        <f aca="false">INDEX(Sprint_Metrics!$F$7:$F$16,RANDBETWEEN(1,ROWS(Sprint_Metrics!$F$7:$F$16)))</f>
        <v>8</v>
      </c>
      <c r="C47" s="29" t="n">
        <f aca="false">INDEX(Sprint_Metrics!$F$7:$F$16,RANDBETWEEN(1,ROWS(Sprint_Metrics!$F$7:$F$16)))</f>
        <v>11</v>
      </c>
      <c r="D47" s="29" t="n">
        <f aca="false">INDEX(Sprint_Metrics!$F$7:$F$16,RANDBETWEEN(1,ROWS(Sprint_Metrics!$F$7:$F$16)))</f>
        <v>9</v>
      </c>
      <c r="E47" s="29" t="n">
        <f aca="false">INDEX(Sprint_Metrics!$F$7:$F$16,RANDBETWEEN(1,ROWS(Sprint_Metrics!$F$7:$F$16)))</f>
        <v>11</v>
      </c>
      <c r="F47" s="29" t="n">
        <f aca="false">INDEX(Sprint_Metrics!$F$7:$F$16,RANDBETWEEN(1,ROWS(Sprint_Metrics!$F$7:$F$16)))</f>
        <v>7</v>
      </c>
      <c r="G47" s="29" t="n">
        <f aca="false">INDEX(Sprint_Metrics!$F$7:$F$16,RANDBETWEEN(1,ROWS(Sprint_Metrics!$F$7:$F$16)))</f>
        <v>8</v>
      </c>
      <c r="H47" s="29" t="n">
        <f aca="false">INDEX(Sprint_Metrics!$F$7:$F$16,RANDBETWEEN(1,ROWS(Sprint_Metrics!$F$7:$F$16)))</f>
        <v>9</v>
      </c>
      <c r="I47" s="29" t="n">
        <f aca="false">INDEX(Sprint_Metrics!$F$7:$F$16,RANDBETWEEN(1,ROWS(Sprint_Metrics!$F$7:$F$16)))</f>
        <v>9</v>
      </c>
      <c r="J47" s="29" t="n">
        <f aca="false">B47</f>
        <v>8</v>
      </c>
      <c r="K47" s="29" t="n">
        <f aca="false">J47+C47</f>
        <v>19</v>
      </c>
      <c r="L47" s="29" t="n">
        <f aca="false">K47+D47</f>
        <v>28</v>
      </c>
      <c r="M47" s="29" t="n">
        <f aca="false">L47+E47</f>
        <v>39</v>
      </c>
      <c r="N47" s="29" t="n">
        <f aca="false">M47+F47</f>
        <v>46</v>
      </c>
      <c r="O47" s="29" t="n">
        <f aca="false">N47+G47</f>
        <v>54</v>
      </c>
      <c r="P47" s="29" t="n">
        <f aca="false">O47+H47</f>
        <v>63</v>
      </c>
      <c r="Q47" s="29" t="n">
        <f aca="false">P47+I47</f>
        <v>72</v>
      </c>
    </row>
    <row r="48" customFormat="false" ht="15" hidden="false" customHeight="false" outlineLevel="0" collapsed="false">
      <c r="A48" s="29" t="n">
        <v>47</v>
      </c>
      <c r="B48" s="29" t="n">
        <f aca="false">INDEX(Sprint_Metrics!$F$7:$F$16,RANDBETWEEN(1,ROWS(Sprint_Metrics!$F$7:$F$16)))</f>
        <v>11</v>
      </c>
      <c r="C48" s="29" t="n">
        <f aca="false">INDEX(Sprint_Metrics!$F$7:$F$16,RANDBETWEEN(1,ROWS(Sprint_Metrics!$F$7:$F$16)))</f>
        <v>12</v>
      </c>
      <c r="D48" s="29" t="n">
        <f aca="false">INDEX(Sprint_Metrics!$F$7:$F$16,RANDBETWEEN(1,ROWS(Sprint_Metrics!$F$7:$F$16)))</f>
        <v>9</v>
      </c>
      <c r="E48" s="29" t="n">
        <f aca="false">INDEX(Sprint_Metrics!$F$7:$F$16,RANDBETWEEN(1,ROWS(Sprint_Metrics!$F$7:$F$16)))</f>
        <v>8</v>
      </c>
      <c r="F48" s="29" t="n">
        <f aca="false">INDEX(Sprint_Metrics!$F$7:$F$16,RANDBETWEEN(1,ROWS(Sprint_Metrics!$F$7:$F$16)))</f>
        <v>8</v>
      </c>
      <c r="G48" s="29" t="n">
        <f aca="false">INDEX(Sprint_Metrics!$F$7:$F$16,RANDBETWEEN(1,ROWS(Sprint_Metrics!$F$7:$F$16)))</f>
        <v>8</v>
      </c>
      <c r="H48" s="29" t="n">
        <f aca="false">INDEX(Sprint_Metrics!$F$7:$F$16,RANDBETWEEN(1,ROWS(Sprint_Metrics!$F$7:$F$16)))</f>
        <v>9</v>
      </c>
      <c r="I48" s="29" t="n">
        <f aca="false">INDEX(Sprint_Metrics!$F$7:$F$16,RANDBETWEEN(1,ROWS(Sprint_Metrics!$F$7:$F$16)))</f>
        <v>8</v>
      </c>
      <c r="J48" s="29" t="n">
        <f aca="false">B48</f>
        <v>11</v>
      </c>
      <c r="K48" s="29" t="n">
        <f aca="false">J48+C48</f>
        <v>23</v>
      </c>
      <c r="L48" s="29" t="n">
        <f aca="false">K48+D48</f>
        <v>32</v>
      </c>
      <c r="M48" s="29" t="n">
        <f aca="false">L48+E48</f>
        <v>40</v>
      </c>
      <c r="N48" s="29" t="n">
        <f aca="false">M48+F48</f>
        <v>48</v>
      </c>
      <c r="O48" s="29" t="n">
        <f aca="false">N48+G48</f>
        <v>56</v>
      </c>
      <c r="P48" s="29" t="n">
        <f aca="false">O48+H48</f>
        <v>65</v>
      </c>
      <c r="Q48" s="29" t="n">
        <f aca="false">P48+I48</f>
        <v>73</v>
      </c>
    </row>
    <row r="49" customFormat="false" ht="15" hidden="false" customHeight="false" outlineLevel="0" collapsed="false">
      <c r="A49" s="29" t="n">
        <v>48</v>
      </c>
      <c r="B49" s="29" t="n">
        <f aca="false">INDEX(Sprint_Metrics!$F$7:$F$16,RANDBETWEEN(1,ROWS(Sprint_Metrics!$F$7:$F$16)))</f>
        <v>7</v>
      </c>
      <c r="C49" s="29" t="n">
        <f aca="false">INDEX(Sprint_Metrics!$F$7:$F$16,RANDBETWEEN(1,ROWS(Sprint_Metrics!$F$7:$F$16)))</f>
        <v>12</v>
      </c>
      <c r="D49" s="29" t="n">
        <f aca="false">INDEX(Sprint_Metrics!$F$7:$F$16,RANDBETWEEN(1,ROWS(Sprint_Metrics!$F$7:$F$16)))</f>
        <v>8</v>
      </c>
      <c r="E49" s="29" t="n">
        <f aca="false">INDEX(Sprint_Metrics!$F$7:$F$16,RANDBETWEEN(1,ROWS(Sprint_Metrics!$F$7:$F$16)))</f>
        <v>11</v>
      </c>
      <c r="F49" s="29" t="n">
        <f aca="false">INDEX(Sprint_Metrics!$F$7:$F$16,RANDBETWEEN(1,ROWS(Sprint_Metrics!$F$7:$F$16)))</f>
        <v>8</v>
      </c>
      <c r="G49" s="29" t="n">
        <f aca="false">INDEX(Sprint_Metrics!$F$7:$F$16,RANDBETWEEN(1,ROWS(Sprint_Metrics!$F$7:$F$16)))</f>
        <v>9</v>
      </c>
      <c r="H49" s="29" t="n">
        <f aca="false">INDEX(Sprint_Metrics!$F$7:$F$16,RANDBETWEEN(1,ROWS(Sprint_Metrics!$F$7:$F$16)))</f>
        <v>8</v>
      </c>
      <c r="I49" s="29" t="n">
        <f aca="false">INDEX(Sprint_Metrics!$F$7:$F$16,RANDBETWEEN(1,ROWS(Sprint_Metrics!$F$7:$F$16)))</f>
        <v>12</v>
      </c>
      <c r="J49" s="29" t="n">
        <f aca="false">B49</f>
        <v>7</v>
      </c>
      <c r="K49" s="29" t="n">
        <f aca="false">J49+C49</f>
        <v>19</v>
      </c>
      <c r="L49" s="29" t="n">
        <f aca="false">K49+D49</f>
        <v>27</v>
      </c>
      <c r="M49" s="29" t="n">
        <f aca="false">L49+E49</f>
        <v>38</v>
      </c>
      <c r="N49" s="29" t="n">
        <f aca="false">M49+F49</f>
        <v>46</v>
      </c>
      <c r="O49" s="29" t="n">
        <f aca="false">N49+G49</f>
        <v>55</v>
      </c>
      <c r="P49" s="29" t="n">
        <f aca="false">O49+H49</f>
        <v>63</v>
      </c>
      <c r="Q49" s="29" t="n">
        <f aca="false">P49+I49</f>
        <v>75</v>
      </c>
    </row>
    <row r="50" customFormat="false" ht="15" hidden="false" customHeight="false" outlineLevel="0" collapsed="false">
      <c r="A50" s="29" t="n">
        <v>49</v>
      </c>
      <c r="B50" s="29" t="n">
        <f aca="false">INDEX(Sprint_Metrics!$F$7:$F$16,RANDBETWEEN(1,ROWS(Sprint_Metrics!$F$7:$F$16)))</f>
        <v>11</v>
      </c>
      <c r="C50" s="29" t="n">
        <f aca="false">INDEX(Sprint_Metrics!$F$7:$F$16,RANDBETWEEN(1,ROWS(Sprint_Metrics!$F$7:$F$16)))</f>
        <v>7</v>
      </c>
      <c r="D50" s="29" t="n">
        <f aca="false">INDEX(Sprint_Metrics!$F$7:$F$16,RANDBETWEEN(1,ROWS(Sprint_Metrics!$F$7:$F$16)))</f>
        <v>11</v>
      </c>
      <c r="E50" s="29" t="n">
        <f aca="false">INDEX(Sprint_Metrics!$F$7:$F$16,RANDBETWEEN(1,ROWS(Sprint_Metrics!$F$7:$F$16)))</f>
        <v>12</v>
      </c>
      <c r="F50" s="29" t="n">
        <f aca="false">INDEX(Sprint_Metrics!$F$7:$F$16,RANDBETWEEN(1,ROWS(Sprint_Metrics!$F$7:$F$16)))</f>
        <v>8</v>
      </c>
      <c r="G50" s="29" t="n">
        <f aca="false">INDEX(Sprint_Metrics!$F$7:$F$16,RANDBETWEEN(1,ROWS(Sprint_Metrics!$F$7:$F$16)))</f>
        <v>8</v>
      </c>
      <c r="H50" s="29" t="n">
        <f aca="false">INDEX(Sprint_Metrics!$F$7:$F$16,RANDBETWEEN(1,ROWS(Sprint_Metrics!$F$7:$F$16)))</f>
        <v>7</v>
      </c>
      <c r="I50" s="29" t="n">
        <f aca="false">INDEX(Sprint_Metrics!$F$7:$F$16,RANDBETWEEN(1,ROWS(Sprint_Metrics!$F$7:$F$16)))</f>
        <v>8</v>
      </c>
      <c r="J50" s="29" t="n">
        <f aca="false">B50</f>
        <v>11</v>
      </c>
      <c r="K50" s="29" t="n">
        <f aca="false">J50+C50</f>
        <v>18</v>
      </c>
      <c r="L50" s="29" t="n">
        <f aca="false">K50+D50</f>
        <v>29</v>
      </c>
      <c r="M50" s="29" t="n">
        <f aca="false">L50+E50</f>
        <v>41</v>
      </c>
      <c r="N50" s="29" t="n">
        <f aca="false">M50+F50</f>
        <v>49</v>
      </c>
      <c r="O50" s="29" t="n">
        <f aca="false">N50+G50</f>
        <v>57</v>
      </c>
      <c r="P50" s="29" t="n">
        <f aca="false">O50+H50</f>
        <v>64</v>
      </c>
      <c r="Q50" s="29" t="n">
        <f aca="false">P50+I50</f>
        <v>72</v>
      </c>
    </row>
    <row r="51" customFormat="false" ht="15" hidden="false" customHeight="false" outlineLevel="0" collapsed="false">
      <c r="A51" s="29" t="n">
        <v>50</v>
      </c>
      <c r="B51" s="29" t="n">
        <f aca="false">INDEX(Sprint_Metrics!$F$7:$F$16,RANDBETWEEN(1,ROWS(Sprint_Metrics!$F$7:$F$16)))</f>
        <v>8</v>
      </c>
      <c r="C51" s="29" t="n">
        <f aca="false">INDEX(Sprint_Metrics!$F$7:$F$16,RANDBETWEEN(1,ROWS(Sprint_Metrics!$F$7:$F$16)))</f>
        <v>7</v>
      </c>
      <c r="D51" s="29" t="n">
        <f aca="false">INDEX(Sprint_Metrics!$F$7:$F$16,RANDBETWEEN(1,ROWS(Sprint_Metrics!$F$7:$F$16)))</f>
        <v>9</v>
      </c>
      <c r="E51" s="29" t="n">
        <f aca="false">INDEX(Sprint_Metrics!$F$7:$F$16,RANDBETWEEN(1,ROWS(Sprint_Metrics!$F$7:$F$16)))</f>
        <v>9</v>
      </c>
      <c r="F51" s="29" t="n">
        <f aca="false">INDEX(Sprint_Metrics!$F$7:$F$16,RANDBETWEEN(1,ROWS(Sprint_Metrics!$F$7:$F$16)))</f>
        <v>9</v>
      </c>
      <c r="G51" s="29" t="n">
        <f aca="false">INDEX(Sprint_Metrics!$F$7:$F$16,RANDBETWEEN(1,ROWS(Sprint_Metrics!$F$7:$F$16)))</f>
        <v>8</v>
      </c>
      <c r="H51" s="29" t="n">
        <f aca="false">INDEX(Sprint_Metrics!$F$7:$F$16,RANDBETWEEN(1,ROWS(Sprint_Metrics!$F$7:$F$16)))</f>
        <v>8</v>
      </c>
      <c r="I51" s="29" t="n">
        <f aca="false">INDEX(Sprint_Metrics!$F$7:$F$16,RANDBETWEEN(1,ROWS(Sprint_Metrics!$F$7:$F$16)))</f>
        <v>7</v>
      </c>
      <c r="J51" s="29" t="n">
        <f aca="false">B51</f>
        <v>8</v>
      </c>
      <c r="K51" s="29" t="n">
        <f aca="false">J51+C51</f>
        <v>15</v>
      </c>
      <c r="L51" s="29" t="n">
        <f aca="false">K51+D51</f>
        <v>24</v>
      </c>
      <c r="M51" s="29" t="n">
        <f aca="false">L51+E51</f>
        <v>33</v>
      </c>
      <c r="N51" s="29" t="n">
        <f aca="false">M51+F51</f>
        <v>42</v>
      </c>
      <c r="O51" s="29" t="n">
        <f aca="false">N51+G51</f>
        <v>50</v>
      </c>
      <c r="P51" s="29" t="n">
        <f aca="false">O51+H51</f>
        <v>58</v>
      </c>
      <c r="Q51" s="29" t="n">
        <f aca="false">P51+I51</f>
        <v>65</v>
      </c>
    </row>
    <row r="52" customFormat="false" ht="15" hidden="false" customHeight="false" outlineLevel="0" collapsed="false">
      <c r="A52" s="29" t="n">
        <v>51</v>
      </c>
      <c r="B52" s="29" t="n">
        <f aca="false">INDEX(Sprint_Metrics!$F$7:$F$16,RANDBETWEEN(1,ROWS(Sprint_Metrics!$F$7:$F$16)))</f>
        <v>9</v>
      </c>
      <c r="C52" s="29" t="n">
        <f aca="false">INDEX(Sprint_Metrics!$F$7:$F$16,RANDBETWEEN(1,ROWS(Sprint_Metrics!$F$7:$F$16)))</f>
        <v>8</v>
      </c>
      <c r="D52" s="29" t="n">
        <f aca="false">INDEX(Sprint_Metrics!$F$7:$F$16,RANDBETWEEN(1,ROWS(Sprint_Metrics!$F$7:$F$16)))</f>
        <v>9</v>
      </c>
      <c r="E52" s="29" t="n">
        <f aca="false">INDEX(Sprint_Metrics!$F$7:$F$16,RANDBETWEEN(1,ROWS(Sprint_Metrics!$F$7:$F$16)))</f>
        <v>8</v>
      </c>
      <c r="F52" s="29" t="n">
        <f aca="false">INDEX(Sprint_Metrics!$F$7:$F$16,RANDBETWEEN(1,ROWS(Sprint_Metrics!$F$7:$F$16)))</f>
        <v>11</v>
      </c>
      <c r="G52" s="29" t="n">
        <f aca="false">INDEX(Sprint_Metrics!$F$7:$F$16,RANDBETWEEN(1,ROWS(Sprint_Metrics!$F$7:$F$16)))</f>
        <v>7</v>
      </c>
      <c r="H52" s="29" t="n">
        <f aca="false">INDEX(Sprint_Metrics!$F$7:$F$16,RANDBETWEEN(1,ROWS(Sprint_Metrics!$F$7:$F$16)))</f>
        <v>11</v>
      </c>
      <c r="I52" s="29" t="n">
        <f aca="false">INDEX(Sprint_Metrics!$F$7:$F$16,RANDBETWEEN(1,ROWS(Sprint_Metrics!$F$7:$F$16)))</f>
        <v>7</v>
      </c>
      <c r="J52" s="29" t="n">
        <f aca="false">B52</f>
        <v>9</v>
      </c>
      <c r="K52" s="29" t="n">
        <f aca="false">J52+C52</f>
        <v>17</v>
      </c>
      <c r="L52" s="29" t="n">
        <f aca="false">K52+D52</f>
        <v>26</v>
      </c>
      <c r="M52" s="29" t="n">
        <f aca="false">L52+E52</f>
        <v>34</v>
      </c>
      <c r="N52" s="29" t="n">
        <f aca="false">M52+F52</f>
        <v>45</v>
      </c>
      <c r="O52" s="29" t="n">
        <f aca="false">N52+G52</f>
        <v>52</v>
      </c>
      <c r="P52" s="29" t="n">
        <f aca="false">O52+H52</f>
        <v>63</v>
      </c>
      <c r="Q52" s="29" t="n">
        <f aca="false">P52+I52</f>
        <v>70</v>
      </c>
    </row>
    <row r="53" customFormat="false" ht="15" hidden="false" customHeight="false" outlineLevel="0" collapsed="false">
      <c r="A53" s="29" t="n">
        <v>52</v>
      </c>
      <c r="B53" s="29" t="n">
        <f aca="false">INDEX(Sprint_Metrics!$F$7:$F$16,RANDBETWEEN(1,ROWS(Sprint_Metrics!$F$7:$F$16)))</f>
        <v>11</v>
      </c>
      <c r="C53" s="29" t="n">
        <f aca="false">INDEX(Sprint_Metrics!$F$7:$F$16,RANDBETWEEN(1,ROWS(Sprint_Metrics!$F$7:$F$16)))</f>
        <v>7</v>
      </c>
      <c r="D53" s="29" t="n">
        <f aca="false">INDEX(Sprint_Metrics!$F$7:$F$16,RANDBETWEEN(1,ROWS(Sprint_Metrics!$F$7:$F$16)))</f>
        <v>12</v>
      </c>
      <c r="E53" s="29" t="n">
        <f aca="false">INDEX(Sprint_Metrics!$F$7:$F$16,RANDBETWEEN(1,ROWS(Sprint_Metrics!$F$7:$F$16)))</f>
        <v>7</v>
      </c>
      <c r="F53" s="29" t="n">
        <f aca="false">INDEX(Sprint_Metrics!$F$7:$F$16,RANDBETWEEN(1,ROWS(Sprint_Metrics!$F$7:$F$16)))</f>
        <v>7</v>
      </c>
      <c r="G53" s="29" t="n">
        <f aca="false">INDEX(Sprint_Metrics!$F$7:$F$16,RANDBETWEEN(1,ROWS(Sprint_Metrics!$F$7:$F$16)))</f>
        <v>7</v>
      </c>
      <c r="H53" s="29" t="n">
        <f aca="false">INDEX(Sprint_Metrics!$F$7:$F$16,RANDBETWEEN(1,ROWS(Sprint_Metrics!$F$7:$F$16)))</f>
        <v>12</v>
      </c>
      <c r="I53" s="29" t="n">
        <f aca="false">INDEX(Sprint_Metrics!$F$7:$F$16,RANDBETWEEN(1,ROWS(Sprint_Metrics!$F$7:$F$16)))</f>
        <v>9</v>
      </c>
      <c r="J53" s="29" t="n">
        <f aca="false">B53</f>
        <v>11</v>
      </c>
      <c r="K53" s="29" t="n">
        <f aca="false">J53+C53</f>
        <v>18</v>
      </c>
      <c r="L53" s="29" t="n">
        <f aca="false">K53+D53</f>
        <v>30</v>
      </c>
      <c r="M53" s="29" t="n">
        <f aca="false">L53+E53</f>
        <v>37</v>
      </c>
      <c r="N53" s="29" t="n">
        <f aca="false">M53+F53</f>
        <v>44</v>
      </c>
      <c r="O53" s="29" t="n">
        <f aca="false">N53+G53</f>
        <v>51</v>
      </c>
      <c r="P53" s="29" t="n">
        <f aca="false">O53+H53</f>
        <v>63</v>
      </c>
      <c r="Q53" s="29" t="n">
        <f aca="false">P53+I53</f>
        <v>72</v>
      </c>
    </row>
    <row r="54" customFormat="false" ht="15" hidden="false" customHeight="false" outlineLevel="0" collapsed="false">
      <c r="A54" s="29" t="n">
        <v>53</v>
      </c>
      <c r="B54" s="29" t="n">
        <f aca="false">INDEX(Sprint_Metrics!$F$7:$F$16,RANDBETWEEN(1,ROWS(Sprint_Metrics!$F$7:$F$16)))</f>
        <v>9</v>
      </c>
      <c r="C54" s="29" t="n">
        <f aca="false">INDEX(Sprint_Metrics!$F$7:$F$16,RANDBETWEEN(1,ROWS(Sprint_Metrics!$F$7:$F$16)))</f>
        <v>8</v>
      </c>
      <c r="D54" s="29" t="n">
        <f aca="false">INDEX(Sprint_Metrics!$F$7:$F$16,RANDBETWEEN(1,ROWS(Sprint_Metrics!$F$7:$F$16)))</f>
        <v>7</v>
      </c>
      <c r="E54" s="29" t="n">
        <f aca="false">INDEX(Sprint_Metrics!$F$7:$F$16,RANDBETWEEN(1,ROWS(Sprint_Metrics!$F$7:$F$16)))</f>
        <v>9</v>
      </c>
      <c r="F54" s="29" t="n">
        <f aca="false">INDEX(Sprint_Metrics!$F$7:$F$16,RANDBETWEEN(1,ROWS(Sprint_Metrics!$F$7:$F$16)))</f>
        <v>8</v>
      </c>
      <c r="G54" s="29" t="n">
        <f aca="false">INDEX(Sprint_Metrics!$F$7:$F$16,RANDBETWEEN(1,ROWS(Sprint_Metrics!$F$7:$F$16)))</f>
        <v>8</v>
      </c>
      <c r="H54" s="29" t="n">
        <f aca="false">INDEX(Sprint_Metrics!$F$7:$F$16,RANDBETWEEN(1,ROWS(Sprint_Metrics!$F$7:$F$16)))</f>
        <v>12</v>
      </c>
      <c r="I54" s="29" t="n">
        <f aca="false">INDEX(Sprint_Metrics!$F$7:$F$16,RANDBETWEEN(1,ROWS(Sprint_Metrics!$F$7:$F$16)))</f>
        <v>8</v>
      </c>
      <c r="J54" s="29" t="n">
        <f aca="false">B54</f>
        <v>9</v>
      </c>
      <c r="K54" s="29" t="n">
        <f aca="false">J54+C54</f>
        <v>17</v>
      </c>
      <c r="L54" s="29" t="n">
        <f aca="false">K54+D54</f>
        <v>24</v>
      </c>
      <c r="M54" s="29" t="n">
        <f aca="false">L54+E54</f>
        <v>33</v>
      </c>
      <c r="N54" s="29" t="n">
        <f aca="false">M54+F54</f>
        <v>41</v>
      </c>
      <c r="O54" s="29" t="n">
        <f aca="false">N54+G54</f>
        <v>49</v>
      </c>
      <c r="P54" s="29" t="n">
        <f aca="false">O54+H54</f>
        <v>61</v>
      </c>
      <c r="Q54" s="29" t="n">
        <f aca="false">P54+I54</f>
        <v>69</v>
      </c>
    </row>
    <row r="55" customFormat="false" ht="15" hidden="false" customHeight="false" outlineLevel="0" collapsed="false">
      <c r="A55" s="29" t="n">
        <v>54</v>
      </c>
      <c r="B55" s="29" t="n">
        <f aca="false">INDEX(Sprint_Metrics!$F$7:$F$16,RANDBETWEEN(1,ROWS(Sprint_Metrics!$F$7:$F$16)))</f>
        <v>12</v>
      </c>
      <c r="C55" s="29" t="n">
        <f aca="false">INDEX(Sprint_Metrics!$F$7:$F$16,RANDBETWEEN(1,ROWS(Sprint_Metrics!$F$7:$F$16)))</f>
        <v>11</v>
      </c>
      <c r="D55" s="29" t="n">
        <f aca="false">INDEX(Sprint_Metrics!$F$7:$F$16,RANDBETWEEN(1,ROWS(Sprint_Metrics!$F$7:$F$16)))</f>
        <v>8</v>
      </c>
      <c r="E55" s="29" t="n">
        <f aca="false">INDEX(Sprint_Metrics!$F$7:$F$16,RANDBETWEEN(1,ROWS(Sprint_Metrics!$F$7:$F$16)))</f>
        <v>9</v>
      </c>
      <c r="F55" s="29" t="n">
        <f aca="false">INDEX(Sprint_Metrics!$F$7:$F$16,RANDBETWEEN(1,ROWS(Sprint_Metrics!$F$7:$F$16)))</f>
        <v>11</v>
      </c>
      <c r="G55" s="29" t="n">
        <f aca="false">INDEX(Sprint_Metrics!$F$7:$F$16,RANDBETWEEN(1,ROWS(Sprint_Metrics!$F$7:$F$16)))</f>
        <v>8</v>
      </c>
      <c r="H55" s="29" t="n">
        <f aca="false">INDEX(Sprint_Metrics!$F$7:$F$16,RANDBETWEEN(1,ROWS(Sprint_Metrics!$F$7:$F$16)))</f>
        <v>8</v>
      </c>
      <c r="I55" s="29" t="n">
        <f aca="false">INDEX(Sprint_Metrics!$F$7:$F$16,RANDBETWEEN(1,ROWS(Sprint_Metrics!$F$7:$F$16)))</f>
        <v>9</v>
      </c>
      <c r="J55" s="29" t="n">
        <f aca="false">B55</f>
        <v>12</v>
      </c>
      <c r="K55" s="29" t="n">
        <f aca="false">J55+C55</f>
        <v>23</v>
      </c>
      <c r="L55" s="29" t="n">
        <f aca="false">K55+D55</f>
        <v>31</v>
      </c>
      <c r="M55" s="29" t="n">
        <f aca="false">L55+E55</f>
        <v>40</v>
      </c>
      <c r="N55" s="29" t="n">
        <f aca="false">M55+F55</f>
        <v>51</v>
      </c>
      <c r="O55" s="29" t="n">
        <f aca="false">N55+G55</f>
        <v>59</v>
      </c>
      <c r="P55" s="29" t="n">
        <f aca="false">O55+H55</f>
        <v>67</v>
      </c>
      <c r="Q55" s="29" t="n">
        <f aca="false">P55+I55</f>
        <v>76</v>
      </c>
    </row>
    <row r="56" customFormat="false" ht="15" hidden="false" customHeight="false" outlineLevel="0" collapsed="false">
      <c r="A56" s="29" t="n">
        <v>55</v>
      </c>
      <c r="B56" s="29" t="n">
        <f aca="false">INDEX(Sprint_Metrics!$F$7:$F$16,RANDBETWEEN(1,ROWS(Sprint_Metrics!$F$7:$F$16)))</f>
        <v>8</v>
      </c>
      <c r="C56" s="29" t="n">
        <f aca="false">INDEX(Sprint_Metrics!$F$7:$F$16,RANDBETWEEN(1,ROWS(Sprint_Metrics!$F$7:$F$16)))</f>
        <v>7</v>
      </c>
      <c r="D56" s="29" t="n">
        <f aca="false">INDEX(Sprint_Metrics!$F$7:$F$16,RANDBETWEEN(1,ROWS(Sprint_Metrics!$F$7:$F$16)))</f>
        <v>11</v>
      </c>
      <c r="E56" s="29" t="n">
        <f aca="false">INDEX(Sprint_Metrics!$F$7:$F$16,RANDBETWEEN(1,ROWS(Sprint_Metrics!$F$7:$F$16)))</f>
        <v>11</v>
      </c>
      <c r="F56" s="29" t="n">
        <f aca="false">INDEX(Sprint_Metrics!$F$7:$F$16,RANDBETWEEN(1,ROWS(Sprint_Metrics!$F$7:$F$16)))</f>
        <v>9</v>
      </c>
      <c r="G56" s="29" t="n">
        <f aca="false">INDEX(Sprint_Metrics!$F$7:$F$16,RANDBETWEEN(1,ROWS(Sprint_Metrics!$F$7:$F$16)))</f>
        <v>7</v>
      </c>
      <c r="H56" s="29" t="n">
        <f aca="false">INDEX(Sprint_Metrics!$F$7:$F$16,RANDBETWEEN(1,ROWS(Sprint_Metrics!$F$7:$F$16)))</f>
        <v>9</v>
      </c>
      <c r="I56" s="29" t="n">
        <f aca="false">INDEX(Sprint_Metrics!$F$7:$F$16,RANDBETWEEN(1,ROWS(Sprint_Metrics!$F$7:$F$16)))</f>
        <v>9</v>
      </c>
      <c r="J56" s="29" t="n">
        <f aca="false">B56</f>
        <v>8</v>
      </c>
      <c r="K56" s="29" t="n">
        <f aca="false">J56+C56</f>
        <v>15</v>
      </c>
      <c r="L56" s="29" t="n">
        <f aca="false">K56+D56</f>
        <v>26</v>
      </c>
      <c r="M56" s="29" t="n">
        <f aca="false">L56+E56</f>
        <v>37</v>
      </c>
      <c r="N56" s="29" t="n">
        <f aca="false">M56+F56</f>
        <v>46</v>
      </c>
      <c r="O56" s="29" t="n">
        <f aca="false">N56+G56</f>
        <v>53</v>
      </c>
      <c r="P56" s="29" t="n">
        <f aca="false">O56+H56</f>
        <v>62</v>
      </c>
      <c r="Q56" s="29" t="n">
        <f aca="false">P56+I56</f>
        <v>71</v>
      </c>
    </row>
    <row r="57" customFormat="false" ht="15" hidden="false" customHeight="false" outlineLevel="0" collapsed="false">
      <c r="A57" s="29" t="n">
        <v>56</v>
      </c>
      <c r="B57" s="29" t="n">
        <f aca="false">INDEX(Sprint_Metrics!$F$7:$F$16,RANDBETWEEN(1,ROWS(Sprint_Metrics!$F$7:$F$16)))</f>
        <v>12</v>
      </c>
      <c r="C57" s="29" t="n">
        <f aca="false">INDEX(Sprint_Metrics!$F$7:$F$16,RANDBETWEEN(1,ROWS(Sprint_Metrics!$F$7:$F$16)))</f>
        <v>7</v>
      </c>
      <c r="D57" s="29" t="n">
        <f aca="false">INDEX(Sprint_Metrics!$F$7:$F$16,RANDBETWEEN(1,ROWS(Sprint_Metrics!$F$7:$F$16)))</f>
        <v>8</v>
      </c>
      <c r="E57" s="29" t="n">
        <f aca="false">INDEX(Sprint_Metrics!$F$7:$F$16,RANDBETWEEN(1,ROWS(Sprint_Metrics!$F$7:$F$16)))</f>
        <v>7</v>
      </c>
      <c r="F57" s="29" t="n">
        <f aca="false">INDEX(Sprint_Metrics!$F$7:$F$16,RANDBETWEEN(1,ROWS(Sprint_Metrics!$F$7:$F$16)))</f>
        <v>8</v>
      </c>
      <c r="G57" s="29" t="n">
        <f aca="false">INDEX(Sprint_Metrics!$F$7:$F$16,RANDBETWEEN(1,ROWS(Sprint_Metrics!$F$7:$F$16)))</f>
        <v>9</v>
      </c>
      <c r="H57" s="29" t="n">
        <f aca="false">INDEX(Sprint_Metrics!$F$7:$F$16,RANDBETWEEN(1,ROWS(Sprint_Metrics!$F$7:$F$16)))</f>
        <v>7</v>
      </c>
      <c r="I57" s="29" t="n">
        <f aca="false">INDEX(Sprint_Metrics!$F$7:$F$16,RANDBETWEEN(1,ROWS(Sprint_Metrics!$F$7:$F$16)))</f>
        <v>11</v>
      </c>
      <c r="J57" s="29" t="n">
        <f aca="false">B57</f>
        <v>12</v>
      </c>
      <c r="K57" s="29" t="n">
        <f aca="false">J57+C57</f>
        <v>19</v>
      </c>
      <c r="L57" s="29" t="n">
        <f aca="false">K57+D57</f>
        <v>27</v>
      </c>
      <c r="M57" s="29" t="n">
        <f aca="false">L57+E57</f>
        <v>34</v>
      </c>
      <c r="N57" s="29" t="n">
        <f aca="false">M57+F57</f>
        <v>42</v>
      </c>
      <c r="O57" s="29" t="n">
        <f aca="false">N57+G57</f>
        <v>51</v>
      </c>
      <c r="P57" s="29" t="n">
        <f aca="false">O57+H57</f>
        <v>58</v>
      </c>
      <c r="Q57" s="29" t="n">
        <f aca="false">P57+I57</f>
        <v>69</v>
      </c>
    </row>
    <row r="58" customFormat="false" ht="15" hidden="false" customHeight="false" outlineLevel="0" collapsed="false">
      <c r="A58" s="29" t="n">
        <v>57</v>
      </c>
      <c r="B58" s="29" t="n">
        <f aca="false">INDEX(Sprint_Metrics!$F$7:$F$16,RANDBETWEEN(1,ROWS(Sprint_Metrics!$F$7:$F$16)))</f>
        <v>8</v>
      </c>
      <c r="C58" s="29" t="n">
        <f aca="false">INDEX(Sprint_Metrics!$F$7:$F$16,RANDBETWEEN(1,ROWS(Sprint_Metrics!$F$7:$F$16)))</f>
        <v>7</v>
      </c>
      <c r="D58" s="29" t="n">
        <f aca="false">INDEX(Sprint_Metrics!$F$7:$F$16,RANDBETWEEN(1,ROWS(Sprint_Metrics!$F$7:$F$16)))</f>
        <v>9</v>
      </c>
      <c r="E58" s="29" t="n">
        <f aca="false">INDEX(Sprint_Metrics!$F$7:$F$16,RANDBETWEEN(1,ROWS(Sprint_Metrics!$F$7:$F$16)))</f>
        <v>11</v>
      </c>
      <c r="F58" s="29" t="n">
        <f aca="false">INDEX(Sprint_Metrics!$F$7:$F$16,RANDBETWEEN(1,ROWS(Sprint_Metrics!$F$7:$F$16)))</f>
        <v>9</v>
      </c>
      <c r="G58" s="29" t="n">
        <f aca="false">INDEX(Sprint_Metrics!$F$7:$F$16,RANDBETWEEN(1,ROWS(Sprint_Metrics!$F$7:$F$16)))</f>
        <v>8</v>
      </c>
      <c r="H58" s="29" t="n">
        <f aca="false">INDEX(Sprint_Metrics!$F$7:$F$16,RANDBETWEEN(1,ROWS(Sprint_Metrics!$F$7:$F$16)))</f>
        <v>8</v>
      </c>
      <c r="I58" s="29" t="n">
        <f aca="false">INDEX(Sprint_Metrics!$F$7:$F$16,RANDBETWEEN(1,ROWS(Sprint_Metrics!$F$7:$F$16)))</f>
        <v>8</v>
      </c>
      <c r="J58" s="29" t="n">
        <f aca="false">B58</f>
        <v>8</v>
      </c>
      <c r="K58" s="29" t="n">
        <f aca="false">J58+C58</f>
        <v>15</v>
      </c>
      <c r="L58" s="29" t="n">
        <f aca="false">K58+D58</f>
        <v>24</v>
      </c>
      <c r="M58" s="29" t="n">
        <f aca="false">L58+E58</f>
        <v>35</v>
      </c>
      <c r="N58" s="29" t="n">
        <f aca="false">M58+F58</f>
        <v>44</v>
      </c>
      <c r="O58" s="29" t="n">
        <f aca="false">N58+G58</f>
        <v>52</v>
      </c>
      <c r="P58" s="29" t="n">
        <f aca="false">O58+H58</f>
        <v>60</v>
      </c>
      <c r="Q58" s="29" t="n">
        <f aca="false">P58+I58</f>
        <v>68</v>
      </c>
    </row>
    <row r="59" customFormat="false" ht="15" hidden="false" customHeight="false" outlineLevel="0" collapsed="false">
      <c r="A59" s="29" t="n">
        <v>58</v>
      </c>
      <c r="B59" s="29" t="n">
        <f aca="false">INDEX(Sprint_Metrics!$F$7:$F$16,RANDBETWEEN(1,ROWS(Sprint_Metrics!$F$7:$F$16)))</f>
        <v>9</v>
      </c>
      <c r="C59" s="29" t="n">
        <f aca="false">INDEX(Sprint_Metrics!$F$7:$F$16,RANDBETWEEN(1,ROWS(Sprint_Metrics!$F$7:$F$16)))</f>
        <v>11</v>
      </c>
      <c r="D59" s="29" t="n">
        <f aca="false">INDEX(Sprint_Metrics!$F$7:$F$16,RANDBETWEEN(1,ROWS(Sprint_Metrics!$F$7:$F$16)))</f>
        <v>9</v>
      </c>
      <c r="E59" s="29" t="n">
        <f aca="false">INDEX(Sprint_Metrics!$F$7:$F$16,RANDBETWEEN(1,ROWS(Sprint_Metrics!$F$7:$F$16)))</f>
        <v>7</v>
      </c>
      <c r="F59" s="29" t="n">
        <f aca="false">INDEX(Sprint_Metrics!$F$7:$F$16,RANDBETWEEN(1,ROWS(Sprint_Metrics!$F$7:$F$16)))</f>
        <v>9</v>
      </c>
      <c r="G59" s="29" t="n">
        <f aca="false">INDEX(Sprint_Metrics!$F$7:$F$16,RANDBETWEEN(1,ROWS(Sprint_Metrics!$F$7:$F$16)))</f>
        <v>11</v>
      </c>
      <c r="H59" s="29" t="n">
        <f aca="false">INDEX(Sprint_Metrics!$F$7:$F$16,RANDBETWEEN(1,ROWS(Sprint_Metrics!$F$7:$F$16)))</f>
        <v>7</v>
      </c>
      <c r="I59" s="29" t="n">
        <f aca="false">INDEX(Sprint_Metrics!$F$7:$F$16,RANDBETWEEN(1,ROWS(Sprint_Metrics!$F$7:$F$16)))</f>
        <v>9</v>
      </c>
      <c r="J59" s="29" t="n">
        <f aca="false">B59</f>
        <v>9</v>
      </c>
      <c r="K59" s="29" t="n">
        <f aca="false">J59+C59</f>
        <v>20</v>
      </c>
      <c r="L59" s="29" t="n">
        <f aca="false">K59+D59</f>
        <v>29</v>
      </c>
      <c r="M59" s="29" t="n">
        <f aca="false">L59+E59</f>
        <v>36</v>
      </c>
      <c r="N59" s="29" t="n">
        <f aca="false">M59+F59</f>
        <v>45</v>
      </c>
      <c r="O59" s="29" t="n">
        <f aca="false">N59+G59</f>
        <v>56</v>
      </c>
      <c r="P59" s="29" t="n">
        <f aca="false">O59+H59</f>
        <v>63</v>
      </c>
      <c r="Q59" s="29" t="n">
        <f aca="false">P59+I59</f>
        <v>72</v>
      </c>
    </row>
    <row r="60" customFormat="false" ht="15" hidden="false" customHeight="false" outlineLevel="0" collapsed="false">
      <c r="A60" s="29" t="n">
        <v>59</v>
      </c>
      <c r="B60" s="29" t="n">
        <f aca="false">INDEX(Sprint_Metrics!$F$7:$F$16,RANDBETWEEN(1,ROWS(Sprint_Metrics!$F$7:$F$16)))</f>
        <v>11</v>
      </c>
      <c r="C60" s="29" t="n">
        <f aca="false">INDEX(Sprint_Metrics!$F$7:$F$16,RANDBETWEEN(1,ROWS(Sprint_Metrics!$F$7:$F$16)))</f>
        <v>8</v>
      </c>
      <c r="D60" s="29" t="n">
        <f aca="false">INDEX(Sprint_Metrics!$F$7:$F$16,RANDBETWEEN(1,ROWS(Sprint_Metrics!$F$7:$F$16)))</f>
        <v>9</v>
      </c>
      <c r="E60" s="29" t="n">
        <f aca="false">INDEX(Sprint_Metrics!$F$7:$F$16,RANDBETWEEN(1,ROWS(Sprint_Metrics!$F$7:$F$16)))</f>
        <v>7</v>
      </c>
      <c r="F60" s="29" t="n">
        <f aca="false">INDEX(Sprint_Metrics!$F$7:$F$16,RANDBETWEEN(1,ROWS(Sprint_Metrics!$F$7:$F$16)))</f>
        <v>7</v>
      </c>
      <c r="G60" s="29" t="n">
        <f aca="false">INDEX(Sprint_Metrics!$F$7:$F$16,RANDBETWEEN(1,ROWS(Sprint_Metrics!$F$7:$F$16)))</f>
        <v>8</v>
      </c>
      <c r="H60" s="29" t="n">
        <f aca="false">INDEX(Sprint_Metrics!$F$7:$F$16,RANDBETWEEN(1,ROWS(Sprint_Metrics!$F$7:$F$16)))</f>
        <v>8</v>
      </c>
      <c r="I60" s="29" t="n">
        <f aca="false">INDEX(Sprint_Metrics!$F$7:$F$16,RANDBETWEEN(1,ROWS(Sprint_Metrics!$F$7:$F$16)))</f>
        <v>9</v>
      </c>
      <c r="J60" s="29" t="n">
        <f aca="false">B60</f>
        <v>11</v>
      </c>
      <c r="K60" s="29" t="n">
        <f aca="false">J60+C60</f>
        <v>19</v>
      </c>
      <c r="L60" s="29" t="n">
        <f aca="false">K60+D60</f>
        <v>28</v>
      </c>
      <c r="M60" s="29" t="n">
        <f aca="false">L60+E60</f>
        <v>35</v>
      </c>
      <c r="N60" s="29" t="n">
        <f aca="false">M60+F60</f>
        <v>42</v>
      </c>
      <c r="O60" s="29" t="n">
        <f aca="false">N60+G60</f>
        <v>50</v>
      </c>
      <c r="P60" s="29" t="n">
        <f aca="false">O60+H60</f>
        <v>58</v>
      </c>
      <c r="Q60" s="29" t="n">
        <f aca="false">P60+I60</f>
        <v>67</v>
      </c>
    </row>
    <row r="61" customFormat="false" ht="15" hidden="false" customHeight="false" outlineLevel="0" collapsed="false">
      <c r="A61" s="29" t="n">
        <v>60</v>
      </c>
      <c r="B61" s="29" t="n">
        <f aca="false">INDEX(Sprint_Metrics!$F$7:$F$16,RANDBETWEEN(1,ROWS(Sprint_Metrics!$F$7:$F$16)))</f>
        <v>8</v>
      </c>
      <c r="C61" s="29" t="n">
        <f aca="false">INDEX(Sprint_Metrics!$F$7:$F$16,RANDBETWEEN(1,ROWS(Sprint_Metrics!$F$7:$F$16)))</f>
        <v>12</v>
      </c>
      <c r="D61" s="29" t="n">
        <f aca="false">INDEX(Sprint_Metrics!$F$7:$F$16,RANDBETWEEN(1,ROWS(Sprint_Metrics!$F$7:$F$16)))</f>
        <v>8</v>
      </c>
      <c r="E61" s="29" t="n">
        <f aca="false">INDEX(Sprint_Metrics!$F$7:$F$16,RANDBETWEEN(1,ROWS(Sprint_Metrics!$F$7:$F$16)))</f>
        <v>11</v>
      </c>
      <c r="F61" s="29" t="n">
        <f aca="false">INDEX(Sprint_Metrics!$F$7:$F$16,RANDBETWEEN(1,ROWS(Sprint_Metrics!$F$7:$F$16)))</f>
        <v>7</v>
      </c>
      <c r="G61" s="29" t="n">
        <f aca="false">INDEX(Sprint_Metrics!$F$7:$F$16,RANDBETWEEN(1,ROWS(Sprint_Metrics!$F$7:$F$16)))</f>
        <v>12</v>
      </c>
      <c r="H61" s="29" t="n">
        <f aca="false">INDEX(Sprint_Metrics!$F$7:$F$16,RANDBETWEEN(1,ROWS(Sprint_Metrics!$F$7:$F$16)))</f>
        <v>8</v>
      </c>
      <c r="I61" s="29" t="n">
        <f aca="false">INDEX(Sprint_Metrics!$F$7:$F$16,RANDBETWEEN(1,ROWS(Sprint_Metrics!$F$7:$F$16)))</f>
        <v>7</v>
      </c>
      <c r="J61" s="29" t="n">
        <f aca="false">B61</f>
        <v>8</v>
      </c>
      <c r="K61" s="29" t="n">
        <f aca="false">J61+C61</f>
        <v>20</v>
      </c>
      <c r="L61" s="29" t="n">
        <f aca="false">K61+D61</f>
        <v>28</v>
      </c>
      <c r="M61" s="29" t="n">
        <f aca="false">L61+E61</f>
        <v>39</v>
      </c>
      <c r="N61" s="29" t="n">
        <f aca="false">M61+F61</f>
        <v>46</v>
      </c>
      <c r="O61" s="29" t="n">
        <f aca="false">N61+G61</f>
        <v>58</v>
      </c>
      <c r="P61" s="29" t="n">
        <f aca="false">O61+H61</f>
        <v>66</v>
      </c>
      <c r="Q61" s="29" t="n">
        <f aca="false">P61+I61</f>
        <v>73</v>
      </c>
    </row>
    <row r="62" customFormat="false" ht="15" hidden="false" customHeight="false" outlineLevel="0" collapsed="false">
      <c r="A62" s="29" t="n">
        <v>61</v>
      </c>
      <c r="B62" s="29" t="n">
        <f aca="false">INDEX(Sprint_Metrics!$F$7:$F$16,RANDBETWEEN(1,ROWS(Sprint_Metrics!$F$7:$F$16)))</f>
        <v>8</v>
      </c>
      <c r="C62" s="29" t="n">
        <f aca="false">INDEX(Sprint_Metrics!$F$7:$F$16,RANDBETWEEN(1,ROWS(Sprint_Metrics!$F$7:$F$16)))</f>
        <v>7</v>
      </c>
      <c r="D62" s="29" t="n">
        <f aca="false">INDEX(Sprint_Metrics!$F$7:$F$16,RANDBETWEEN(1,ROWS(Sprint_Metrics!$F$7:$F$16)))</f>
        <v>11</v>
      </c>
      <c r="E62" s="29" t="n">
        <f aca="false">INDEX(Sprint_Metrics!$F$7:$F$16,RANDBETWEEN(1,ROWS(Sprint_Metrics!$F$7:$F$16)))</f>
        <v>8</v>
      </c>
      <c r="F62" s="29" t="n">
        <f aca="false">INDEX(Sprint_Metrics!$F$7:$F$16,RANDBETWEEN(1,ROWS(Sprint_Metrics!$F$7:$F$16)))</f>
        <v>11</v>
      </c>
      <c r="G62" s="29" t="n">
        <f aca="false">INDEX(Sprint_Metrics!$F$7:$F$16,RANDBETWEEN(1,ROWS(Sprint_Metrics!$F$7:$F$16)))</f>
        <v>8</v>
      </c>
      <c r="H62" s="29" t="n">
        <f aca="false">INDEX(Sprint_Metrics!$F$7:$F$16,RANDBETWEEN(1,ROWS(Sprint_Metrics!$F$7:$F$16)))</f>
        <v>8</v>
      </c>
      <c r="I62" s="29" t="n">
        <f aca="false">INDEX(Sprint_Metrics!$F$7:$F$16,RANDBETWEEN(1,ROWS(Sprint_Metrics!$F$7:$F$16)))</f>
        <v>8</v>
      </c>
      <c r="J62" s="29" t="n">
        <f aca="false">B62</f>
        <v>8</v>
      </c>
      <c r="K62" s="29" t="n">
        <f aca="false">J62+C62</f>
        <v>15</v>
      </c>
      <c r="L62" s="29" t="n">
        <f aca="false">K62+D62</f>
        <v>26</v>
      </c>
      <c r="M62" s="29" t="n">
        <f aca="false">L62+E62</f>
        <v>34</v>
      </c>
      <c r="N62" s="29" t="n">
        <f aca="false">M62+F62</f>
        <v>45</v>
      </c>
      <c r="O62" s="29" t="n">
        <f aca="false">N62+G62</f>
        <v>53</v>
      </c>
      <c r="P62" s="29" t="n">
        <f aca="false">O62+H62</f>
        <v>61</v>
      </c>
      <c r="Q62" s="29" t="n">
        <f aca="false">P62+I62</f>
        <v>69</v>
      </c>
    </row>
    <row r="63" customFormat="false" ht="15" hidden="false" customHeight="false" outlineLevel="0" collapsed="false">
      <c r="A63" s="29" t="n">
        <v>62</v>
      </c>
      <c r="B63" s="29" t="n">
        <f aca="false">INDEX(Sprint_Metrics!$F$7:$F$16,RANDBETWEEN(1,ROWS(Sprint_Metrics!$F$7:$F$16)))</f>
        <v>7</v>
      </c>
      <c r="C63" s="29" t="n">
        <f aca="false">INDEX(Sprint_Metrics!$F$7:$F$16,RANDBETWEEN(1,ROWS(Sprint_Metrics!$F$7:$F$16)))</f>
        <v>7</v>
      </c>
      <c r="D63" s="29" t="n">
        <f aca="false">INDEX(Sprint_Metrics!$F$7:$F$16,RANDBETWEEN(1,ROWS(Sprint_Metrics!$F$7:$F$16)))</f>
        <v>7</v>
      </c>
      <c r="E63" s="29" t="n">
        <f aca="false">INDEX(Sprint_Metrics!$F$7:$F$16,RANDBETWEEN(1,ROWS(Sprint_Metrics!$F$7:$F$16)))</f>
        <v>9</v>
      </c>
      <c r="F63" s="29" t="n">
        <f aca="false">INDEX(Sprint_Metrics!$F$7:$F$16,RANDBETWEEN(1,ROWS(Sprint_Metrics!$F$7:$F$16)))</f>
        <v>9</v>
      </c>
      <c r="G63" s="29" t="n">
        <f aca="false">INDEX(Sprint_Metrics!$F$7:$F$16,RANDBETWEEN(1,ROWS(Sprint_Metrics!$F$7:$F$16)))</f>
        <v>12</v>
      </c>
      <c r="H63" s="29" t="n">
        <f aca="false">INDEX(Sprint_Metrics!$F$7:$F$16,RANDBETWEEN(1,ROWS(Sprint_Metrics!$F$7:$F$16)))</f>
        <v>8</v>
      </c>
      <c r="I63" s="29" t="n">
        <f aca="false">INDEX(Sprint_Metrics!$F$7:$F$16,RANDBETWEEN(1,ROWS(Sprint_Metrics!$F$7:$F$16)))</f>
        <v>8</v>
      </c>
      <c r="J63" s="29" t="n">
        <f aca="false">B63</f>
        <v>7</v>
      </c>
      <c r="K63" s="29" t="n">
        <f aca="false">J63+C63</f>
        <v>14</v>
      </c>
      <c r="L63" s="29" t="n">
        <f aca="false">K63+D63</f>
        <v>21</v>
      </c>
      <c r="M63" s="29" t="n">
        <f aca="false">L63+E63</f>
        <v>30</v>
      </c>
      <c r="N63" s="29" t="n">
        <f aca="false">M63+F63</f>
        <v>39</v>
      </c>
      <c r="O63" s="29" t="n">
        <f aca="false">N63+G63</f>
        <v>51</v>
      </c>
      <c r="P63" s="29" t="n">
        <f aca="false">O63+H63</f>
        <v>59</v>
      </c>
      <c r="Q63" s="29" t="n">
        <f aca="false">P63+I63</f>
        <v>67</v>
      </c>
    </row>
    <row r="64" customFormat="false" ht="15" hidden="false" customHeight="false" outlineLevel="0" collapsed="false">
      <c r="A64" s="29" t="n">
        <v>63</v>
      </c>
      <c r="B64" s="29" t="n">
        <f aca="false">INDEX(Sprint_Metrics!$F$7:$F$16,RANDBETWEEN(1,ROWS(Sprint_Metrics!$F$7:$F$16)))</f>
        <v>8</v>
      </c>
      <c r="C64" s="29" t="n">
        <f aca="false">INDEX(Sprint_Metrics!$F$7:$F$16,RANDBETWEEN(1,ROWS(Sprint_Metrics!$F$7:$F$16)))</f>
        <v>12</v>
      </c>
      <c r="D64" s="29" t="n">
        <f aca="false">INDEX(Sprint_Metrics!$F$7:$F$16,RANDBETWEEN(1,ROWS(Sprint_Metrics!$F$7:$F$16)))</f>
        <v>12</v>
      </c>
      <c r="E64" s="29" t="n">
        <f aca="false">INDEX(Sprint_Metrics!$F$7:$F$16,RANDBETWEEN(1,ROWS(Sprint_Metrics!$F$7:$F$16)))</f>
        <v>8</v>
      </c>
      <c r="F64" s="29" t="n">
        <f aca="false">INDEX(Sprint_Metrics!$F$7:$F$16,RANDBETWEEN(1,ROWS(Sprint_Metrics!$F$7:$F$16)))</f>
        <v>8</v>
      </c>
      <c r="G64" s="29" t="n">
        <f aca="false">INDEX(Sprint_Metrics!$F$7:$F$16,RANDBETWEEN(1,ROWS(Sprint_Metrics!$F$7:$F$16)))</f>
        <v>8</v>
      </c>
      <c r="H64" s="29" t="n">
        <f aca="false">INDEX(Sprint_Metrics!$F$7:$F$16,RANDBETWEEN(1,ROWS(Sprint_Metrics!$F$7:$F$16)))</f>
        <v>7</v>
      </c>
      <c r="I64" s="29" t="n">
        <f aca="false">INDEX(Sprint_Metrics!$F$7:$F$16,RANDBETWEEN(1,ROWS(Sprint_Metrics!$F$7:$F$16)))</f>
        <v>12</v>
      </c>
      <c r="J64" s="29" t="n">
        <f aca="false">B64</f>
        <v>8</v>
      </c>
      <c r="K64" s="29" t="n">
        <f aca="false">J64+C64</f>
        <v>20</v>
      </c>
      <c r="L64" s="29" t="n">
        <f aca="false">K64+D64</f>
        <v>32</v>
      </c>
      <c r="M64" s="29" t="n">
        <f aca="false">L64+E64</f>
        <v>40</v>
      </c>
      <c r="N64" s="29" t="n">
        <f aca="false">M64+F64</f>
        <v>48</v>
      </c>
      <c r="O64" s="29" t="n">
        <f aca="false">N64+G64</f>
        <v>56</v>
      </c>
      <c r="P64" s="29" t="n">
        <f aca="false">O64+H64</f>
        <v>63</v>
      </c>
      <c r="Q64" s="29" t="n">
        <f aca="false">P64+I64</f>
        <v>75</v>
      </c>
    </row>
    <row r="65" customFormat="false" ht="15" hidden="false" customHeight="false" outlineLevel="0" collapsed="false">
      <c r="A65" s="29" t="n">
        <v>64</v>
      </c>
      <c r="B65" s="29" t="n">
        <f aca="false">INDEX(Sprint_Metrics!$F$7:$F$16,RANDBETWEEN(1,ROWS(Sprint_Metrics!$F$7:$F$16)))</f>
        <v>7</v>
      </c>
      <c r="C65" s="29" t="n">
        <f aca="false">INDEX(Sprint_Metrics!$F$7:$F$16,RANDBETWEEN(1,ROWS(Sprint_Metrics!$F$7:$F$16)))</f>
        <v>8</v>
      </c>
      <c r="D65" s="29" t="n">
        <f aca="false">INDEX(Sprint_Metrics!$F$7:$F$16,RANDBETWEEN(1,ROWS(Sprint_Metrics!$F$7:$F$16)))</f>
        <v>7</v>
      </c>
      <c r="E65" s="29" t="n">
        <f aca="false">INDEX(Sprint_Metrics!$F$7:$F$16,RANDBETWEEN(1,ROWS(Sprint_Metrics!$F$7:$F$16)))</f>
        <v>11</v>
      </c>
      <c r="F65" s="29" t="n">
        <f aca="false">INDEX(Sprint_Metrics!$F$7:$F$16,RANDBETWEEN(1,ROWS(Sprint_Metrics!$F$7:$F$16)))</f>
        <v>8</v>
      </c>
      <c r="G65" s="29" t="n">
        <f aca="false">INDEX(Sprint_Metrics!$F$7:$F$16,RANDBETWEEN(1,ROWS(Sprint_Metrics!$F$7:$F$16)))</f>
        <v>7</v>
      </c>
      <c r="H65" s="29" t="n">
        <f aca="false">INDEX(Sprint_Metrics!$F$7:$F$16,RANDBETWEEN(1,ROWS(Sprint_Metrics!$F$7:$F$16)))</f>
        <v>7</v>
      </c>
      <c r="I65" s="29" t="n">
        <f aca="false">INDEX(Sprint_Metrics!$F$7:$F$16,RANDBETWEEN(1,ROWS(Sprint_Metrics!$F$7:$F$16)))</f>
        <v>11</v>
      </c>
      <c r="J65" s="29" t="n">
        <f aca="false">B65</f>
        <v>7</v>
      </c>
      <c r="K65" s="29" t="n">
        <f aca="false">J65+C65</f>
        <v>15</v>
      </c>
      <c r="L65" s="29" t="n">
        <f aca="false">K65+D65</f>
        <v>22</v>
      </c>
      <c r="M65" s="29" t="n">
        <f aca="false">L65+E65</f>
        <v>33</v>
      </c>
      <c r="N65" s="29" t="n">
        <f aca="false">M65+F65</f>
        <v>41</v>
      </c>
      <c r="O65" s="29" t="n">
        <f aca="false">N65+G65</f>
        <v>48</v>
      </c>
      <c r="P65" s="29" t="n">
        <f aca="false">O65+H65</f>
        <v>55</v>
      </c>
      <c r="Q65" s="29" t="n">
        <f aca="false">P65+I65</f>
        <v>66</v>
      </c>
    </row>
    <row r="66" customFormat="false" ht="15" hidden="false" customHeight="false" outlineLevel="0" collapsed="false">
      <c r="A66" s="29" t="n">
        <v>65</v>
      </c>
      <c r="B66" s="29" t="n">
        <f aca="false">INDEX(Sprint_Metrics!$F$7:$F$16,RANDBETWEEN(1,ROWS(Sprint_Metrics!$F$7:$F$16)))</f>
        <v>8</v>
      </c>
      <c r="C66" s="29" t="n">
        <f aca="false">INDEX(Sprint_Metrics!$F$7:$F$16,RANDBETWEEN(1,ROWS(Sprint_Metrics!$F$7:$F$16)))</f>
        <v>12</v>
      </c>
      <c r="D66" s="29" t="n">
        <f aca="false">INDEX(Sprint_Metrics!$F$7:$F$16,RANDBETWEEN(1,ROWS(Sprint_Metrics!$F$7:$F$16)))</f>
        <v>9</v>
      </c>
      <c r="E66" s="29" t="n">
        <f aca="false">INDEX(Sprint_Metrics!$F$7:$F$16,RANDBETWEEN(1,ROWS(Sprint_Metrics!$F$7:$F$16)))</f>
        <v>9</v>
      </c>
      <c r="F66" s="29" t="n">
        <f aca="false">INDEX(Sprint_Metrics!$F$7:$F$16,RANDBETWEEN(1,ROWS(Sprint_Metrics!$F$7:$F$16)))</f>
        <v>7</v>
      </c>
      <c r="G66" s="29" t="n">
        <f aca="false">INDEX(Sprint_Metrics!$F$7:$F$16,RANDBETWEEN(1,ROWS(Sprint_Metrics!$F$7:$F$16)))</f>
        <v>12</v>
      </c>
      <c r="H66" s="29" t="n">
        <f aca="false">INDEX(Sprint_Metrics!$F$7:$F$16,RANDBETWEEN(1,ROWS(Sprint_Metrics!$F$7:$F$16)))</f>
        <v>12</v>
      </c>
      <c r="I66" s="29" t="n">
        <f aca="false">INDEX(Sprint_Metrics!$F$7:$F$16,RANDBETWEEN(1,ROWS(Sprint_Metrics!$F$7:$F$16)))</f>
        <v>9</v>
      </c>
      <c r="J66" s="29" t="n">
        <f aca="false">B66</f>
        <v>8</v>
      </c>
      <c r="K66" s="29" t="n">
        <f aca="false">J66+C66</f>
        <v>20</v>
      </c>
      <c r="L66" s="29" t="n">
        <f aca="false">K66+D66</f>
        <v>29</v>
      </c>
      <c r="M66" s="29" t="n">
        <f aca="false">L66+E66</f>
        <v>38</v>
      </c>
      <c r="N66" s="29" t="n">
        <f aca="false">M66+F66</f>
        <v>45</v>
      </c>
      <c r="O66" s="29" t="n">
        <f aca="false">N66+G66</f>
        <v>57</v>
      </c>
      <c r="P66" s="29" t="n">
        <f aca="false">O66+H66</f>
        <v>69</v>
      </c>
      <c r="Q66" s="29" t="n">
        <f aca="false">P66+I66</f>
        <v>78</v>
      </c>
    </row>
    <row r="67" customFormat="false" ht="15" hidden="false" customHeight="false" outlineLevel="0" collapsed="false">
      <c r="A67" s="29" t="n">
        <v>66</v>
      </c>
      <c r="B67" s="29" t="n">
        <f aca="false">INDEX(Sprint_Metrics!$F$7:$F$16,RANDBETWEEN(1,ROWS(Sprint_Metrics!$F$7:$F$16)))</f>
        <v>8</v>
      </c>
      <c r="C67" s="29" t="n">
        <f aca="false">INDEX(Sprint_Metrics!$F$7:$F$16,RANDBETWEEN(1,ROWS(Sprint_Metrics!$F$7:$F$16)))</f>
        <v>9</v>
      </c>
      <c r="D67" s="29" t="n">
        <f aca="false">INDEX(Sprint_Metrics!$F$7:$F$16,RANDBETWEEN(1,ROWS(Sprint_Metrics!$F$7:$F$16)))</f>
        <v>8</v>
      </c>
      <c r="E67" s="29" t="n">
        <f aca="false">INDEX(Sprint_Metrics!$F$7:$F$16,RANDBETWEEN(1,ROWS(Sprint_Metrics!$F$7:$F$16)))</f>
        <v>8</v>
      </c>
      <c r="F67" s="29" t="n">
        <f aca="false">INDEX(Sprint_Metrics!$F$7:$F$16,RANDBETWEEN(1,ROWS(Sprint_Metrics!$F$7:$F$16)))</f>
        <v>9</v>
      </c>
      <c r="G67" s="29" t="n">
        <f aca="false">INDEX(Sprint_Metrics!$F$7:$F$16,RANDBETWEEN(1,ROWS(Sprint_Metrics!$F$7:$F$16)))</f>
        <v>8</v>
      </c>
      <c r="H67" s="29" t="n">
        <f aca="false">INDEX(Sprint_Metrics!$F$7:$F$16,RANDBETWEEN(1,ROWS(Sprint_Metrics!$F$7:$F$16)))</f>
        <v>11</v>
      </c>
      <c r="I67" s="29" t="n">
        <f aca="false">INDEX(Sprint_Metrics!$F$7:$F$16,RANDBETWEEN(1,ROWS(Sprint_Metrics!$F$7:$F$16)))</f>
        <v>8</v>
      </c>
      <c r="J67" s="29" t="n">
        <f aca="false">B67</f>
        <v>8</v>
      </c>
      <c r="K67" s="29" t="n">
        <f aca="false">J67+C67</f>
        <v>17</v>
      </c>
      <c r="L67" s="29" t="n">
        <f aca="false">K67+D67</f>
        <v>25</v>
      </c>
      <c r="M67" s="29" t="n">
        <f aca="false">L67+E67</f>
        <v>33</v>
      </c>
      <c r="N67" s="29" t="n">
        <f aca="false">M67+F67</f>
        <v>42</v>
      </c>
      <c r="O67" s="29" t="n">
        <f aca="false">N67+G67</f>
        <v>50</v>
      </c>
      <c r="P67" s="29" t="n">
        <f aca="false">O67+H67</f>
        <v>61</v>
      </c>
      <c r="Q67" s="29" t="n">
        <f aca="false">P67+I67</f>
        <v>69</v>
      </c>
    </row>
    <row r="68" customFormat="false" ht="15" hidden="false" customHeight="false" outlineLevel="0" collapsed="false">
      <c r="A68" s="29" t="n">
        <v>67</v>
      </c>
      <c r="B68" s="29" t="n">
        <f aca="false">INDEX(Sprint_Metrics!$F$7:$F$16,RANDBETWEEN(1,ROWS(Sprint_Metrics!$F$7:$F$16)))</f>
        <v>9</v>
      </c>
      <c r="C68" s="29" t="n">
        <f aca="false">INDEX(Sprint_Metrics!$F$7:$F$16,RANDBETWEEN(1,ROWS(Sprint_Metrics!$F$7:$F$16)))</f>
        <v>7</v>
      </c>
      <c r="D68" s="29" t="n">
        <f aca="false">INDEX(Sprint_Metrics!$F$7:$F$16,RANDBETWEEN(1,ROWS(Sprint_Metrics!$F$7:$F$16)))</f>
        <v>12</v>
      </c>
      <c r="E68" s="29" t="n">
        <f aca="false">INDEX(Sprint_Metrics!$F$7:$F$16,RANDBETWEEN(1,ROWS(Sprint_Metrics!$F$7:$F$16)))</f>
        <v>8</v>
      </c>
      <c r="F68" s="29" t="n">
        <f aca="false">INDEX(Sprint_Metrics!$F$7:$F$16,RANDBETWEEN(1,ROWS(Sprint_Metrics!$F$7:$F$16)))</f>
        <v>9</v>
      </c>
      <c r="G68" s="29" t="n">
        <f aca="false">INDEX(Sprint_Metrics!$F$7:$F$16,RANDBETWEEN(1,ROWS(Sprint_Metrics!$F$7:$F$16)))</f>
        <v>8</v>
      </c>
      <c r="H68" s="29" t="n">
        <f aca="false">INDEX(Sprint_Metrics!$F$7:$F$16,RANDBETWEEN(1,ROWS(Sprint_Metrics!$F$7:$F$16)))</f>
        <v>8</v>
      </c>
      <c r="I68" s="29" t="n">
        <f aca="false">INDEX(Sprint_Metrics!$F$7:$F$16,RANDBETWEEN(1,ROWS(Sprint_Metrics!$F$7:$F$16)))</f>
        <v>8</v>
      </c>
      <c r="J68" s="29" t="n">
        <f aca="false">B68</f>
        <v>9</v>
      </c>
      <c r="K68" s="29" t="n">
        <f aca="false">J68+C68</f>
        <v>16</v>
      </c>
      <c r="L68" s="29" t="n">
        <f aca="false">K68+D68</f>
        <v>28</v>
      </c>
      <c r="M68" s="29" t="n">
        <f aca="false">L68+E68</f>
        <v>36</v>
      </c>
      <c r="N68" s="29" t="n">
        <f aca="false">M68+F68</f>
        <v>45</v>
      </c>
      <c r="O68" s="29" t="n">
        <f aca="false">N68+G68</f>
        <v>53</v>
      </c>
      <c r="P68" s="29" t="n">
        <f aca="false">O68+H68</f>
        <v>61</v>
      </c>
      <c r="Q68" s="29" t="n">
        <f aca="false">P68+I68</f>
        <v>69</v>
      </c>
    </row>
    <row r="69" customFormat="false" ht="15" hidden="false" customHeight="false" outlineLevel="0" collapsed="false">
      <c r="A69" s="29" t="n">
        <v>68</v>
      </c>
      <c r="B69" s="29" t="n">
        <f aca="false">INDEX(Sprint_Metrics!$F$7:$F$16,RANDBETWEEN(1,ROWS(Sprint_Metrics!$F$7:$F$16)))</f>
        <v>11</v>
      </c>
      <c r="C69" s="29" t="n">
        <f aca="false">INDEX(Sprint_Metrics!$F$7:$F$16,RANDBETWEEN(1,ROWS(Sprint_Metrics!$F$7:$F$16)))</f>
        <v>12</v>
      </c>
      <c r="D69" s="29" t="n">
        <f aca="false">INDEX(Sprint_Metrics!$F$7:$F$16,RANDBETWEEN(1,ROWS(Sprint_Metrics!$F$7:$F$16)))</f>
        <v>9</v>
      </c>
      <c r="E69" s="29" t="n">
        <f aca="false">INDEX(Sprint_Metrics!$F$7:$F$16,RANDBETWEEN(1,ROWS(Sprint_Metrics!$F$7:$F$16)))</f>
        <v>11</v>
      </c>
      <c r="F69" s="29" t="n">
        <f aca="false">INDEX(Sprint_Metrics!$F$7:$F$16,RANDBETWEEN(1,ROWS(Sprint_Metrics!$F$7:$F$16)))</f>
        <v>9</v>
      </c>
      <c r="G69" s="29" t="n">
        <f aca="false">INDEX(Sprint_Metrics!$F$7:$F$16,RANDBETWEEN(1,ROWS(Sprint_Metrics!$F$7:$F$16)))</f>
        <v>8</v>
      </c>
      <c r="H69" s="29" t="n">
        <f aca="false">INDEX(Sprint_Metrics!$F$7:$F$16,RANDBETWEEN(1,ROWS(Sprint_Metrics!$F$7:$F$16)))</f>
        <v>8</v>
      </c>
      <c r="I69" s="29" t="n">
        <f aca="false">INDEX(Sprint_Metrics!$F$7:$F$16,RANDBETWEEN(1,ROWS(Sprint_Metrics!$F$7:$F$16)))</f>
        <v>8</v>
      </c>
      <c r="J69" s="29" t="n">
        <f aca="false">B69</f>
        <v>11</v>
      </c>
      <c r="K69" s="29" t="n">
        <f aca="false">J69+C69</f>
        <v>23</v>
      </c>
      <c r="L69" s="29" t="n">
        <f aca="false">K69+D69</f>
        <v>32</v>
      </c>
      <c r="M69" s="29" t="n">
        <f aca="false">L69+E69</f>
        <v>43</v>
      </c>
      <c r="N69" s="29" t="n">
        <f aca="false">M69+F69</f>
        <v>52</v>
      </c>
      <c r="O69" s="29" t="n">
        <f aca="false">N69+G69</f>
        <v>60</v>
      </c>
      <c r="P69" s="29" t="n">
        <f aca="false">O69+H69</f>
        <v>68</v>
      </c>
      <c r="Q69" s="29" t="n">
        <f aca="false">P69+I69</f>
        <v>76</v>
      </c>
    </row>
    <row r="70" customFormat="false" ht="15" hidden="false" customHeight="false" outlineLevel="0" collapsed="false">
      <c r="A70" s="29" t="n">
        <v>69</v>
      </c>
      <c r="B70" s="29" t="n">
        <f aca="false">INDEX(Sprint_Metrics!$F$7:$F$16,RANDBETWEEN(1,ROWS(Sprint_Metrics!$F$7:$F$16)))</f>
        <v>12</v>
      </c>
      <c r="C70" s="29" t="n">
        <f aca="false">INDEX(Sprint_Metrics!$F$7:$F$16,RANDBETWEEN(1,ROWS(Sprint_Metrics!$F$7:$F$16)))</f>
        <v>9</v>
      </c>
      <c r="D70" s="29" t="n">
        <f aca="false">INDEX(Sprint_Metrics!$F$7:$F$16,RANDBETWEEN(1,ROWS(Sprint_Metrics!$F$7:$F$16)))</f>
        <v>7</v>
      </c>
      <c r="E70" s="29" t="n">
        <f aca="false">INDEX(Sprint_Metrics!$F$7:$F$16,RANDBETWEEN(1,ROWS(Sprint_Metrics!$F$7:$F$16)))</f>
        <v>9</v>
      </c>
      <c r="F70" s="29" t="n">
        <f aca="false">INDEX(Sprint_Metrics!$F$7:$F$16,RANDBETWEEN(1,ROWS(Sprint_Metrics!$F$7:$F$16)))</f>
        <v>9</v>
      </c>
      <c r="G70" s="29" t="n">
        <f aca="false">INDEX(Sprint_Metrics!$F$7:$F$16,RANDBETWEEN(1,ROWS(Sprint_Metrics!$F$7:$F$16)))</f>
        <v>8</v>
      </c>
      <c r="H70" s="29" t="n">
        <f aca="false">INDEX(Sprint_Metrics!$F$7:$F$16,RANDBETWEEN(1,ROWS(Sprint_Metrics!$F$7:$F$16)))</f>
        <v>8</v>
      </c>
      <c r="I70" s="29" t="n">
        <f aca="false">INDEX(Sprint_Metrics!$F$7:$F$16,RANDBETWEEN(1,ROWS(Sprint_Metrics!$F$7:$F$16)))</f>
        <v>7</v>
      </c>
      <c r="J70" s="29" t="n">
        <f aca="false">B70</f>
        <v>12</v>
      </c>
      <c r="K70" s="29" t="n">
        <f aca="false">J70+C70</f>
        <v>21</v>
      </c>
      <c r="L70" s="29" t="n">
        <f aca="false">K70+D70</f>
        <v>28</v>
      </c>
      <c r="M70" s="29" t="n">
        <f aca="false">L70+E70</f>
        <v>37</v>
      </c>
      <c r="N70" s="29" t="n">
        <f aca="false">M70+F70</f>
        <v>46</v>
      </c>
      <c r="O70" s="29" t="n">
        <f aca="false">N70+G70</f>
        <v>54</v>
      </c>
      <c r="P70" s="29" t="n">
        <f aca="false">O70+H70</f>
        <v>62</v>
      </c>
      <c r="Q70" s="29" t="n">
        <f aca="false">P70+I70</f>
        <v>69</v>
      </c>
    </row>
    <row r="71" customFormat="false" ht="15" hidden="false" customHeight="false" outlineLevel="0" collapsed="false">
      <c r="A71" s="29" t="n">
        <v>70</v>
      </c>
      <c r="B71" s="29" t="n">
        <f aca="false">INDEX(Sprint_Metrics!$F$7:$F$16,RANDBETWEEN(1,ROWS(Sprint_Metrics!$F$7:$F$16)))</f>
        <v>9</v>
      </c>
      <c r="C71" s="29" t="n">
        <f aca="false">INDEX(Sprint_Metrics!$F$7:$F$16,RANDBETWEEN(1,ROWS(Sprint_Metrics!$F$7:$F$16)))</f>
        <v>7</v>
      </c>
      <c r="D71" s="29" t="n">
        <f aca="false">INDEX(Sprint_Metrics!$F$7:$F$16,RANDBETWEEN(1,ROWS(Sprint_Metrics!$F$7:$F$16)))</f>
        <v>7</v>
      </c>
      <c r="E71" s="29" t="n">
        <f aca="false">INDEX(Sprint_Metrics!$F$7:$F$16,RANDBETWEEN(1,ROWS(Sprint_Metrics!$F$7:$F$16)))</f>
        <v>7</v>
      </c>
      <c r="F71" s="29" t="n">
        <f aca="false">INDEX(Sprint_Metrics!$F$7:$F$16,RANDBETWEEN(1,ROWS(Sprint_Metrics!$F$7:$F$16)))</f>
        <v>9</v>
      </c>
      <c r="G71" s="29" t="n">
        <f aca="false">INDEX(Sprint_Metrics!$F$7:$F$16,RANDBETWEEN(1,ROWS(Sprint_Metrics!$F$7:$F$16)))</f>
        <v>9</v>
      </c>
      <c r="H71" s="29" t="n">
        <f aca="false">INDEX(Sprint_Metrics!$F$7:$F$16,RANDBETWEEN(1,ROWS(Sprint_Metrics!$F$7:$F$16)))</f>
        <v>11</v>
      </c>
      <c r="I71" s="29" t="n">
        <f aca="false">INDEX(Sprint_Metrics!$F$7:$F$16,RANDBETWEEN(1,ROWS(Sprint_Metrics!$F$7:$F$16)))</f>
        <v>12</v>
      </c>
      <c r="J71" s="29" t="n">
        <f aca="false">B71</f>
        <v>9</v>
      </c>
      <c r="K71" s="29" t="n">
        <f aca="false">J71+C71</f>
        <v>16</v>
      </c>
      <c r="L71" s="29" t="n">
        <f aca="false">K71+D71</f>
        <v>23</v>
      </c>
      <c r="M71" s="29" t="n">
        <f aca="false">L71+E71</f>
        <v>30</v>
      </c>
      <c r="N71" s="29" t="n">
        <f aca="false">M71+F71</f>
        <v>39</v>
      </c>
      <c r="O71" s="29" t="n">
        <f aca="false">N71+G71</f>
        <v>48</v>
      </c>
      <c r="P71" s="29" t="n">
        <f aca="false">O71+H71</f>
        <v>59</v>
      </c>
      <c r="Q71" s="29" t="n">
        <f aca="false">P71+I71</f>
        <v>71</v>
      </c>
    </row>
    <row r="72" customFormat="false" ht="15" hidden="false" customHeight="false" outlineLevel="0" collapsed="false">
      <c r="A72" s="29" t="n">
        <v>71</v>
      </c>
      <c r="B72" s="29" t="n">
        <f aca="false">INDEX(Sprint_Metrics!$F$7:$F$16,RANDBETWEEN(1,ROWS(Sprint_Metrics!$F$7:$F$16)))</f>
        <v>8</v>
      </c>
      <c r="C72" s="29" t="n">
        <f aca="false">INDEX(Sprint_Metrics!$F$7:$F$16,RANDBETWEEN(1,ROWS(Sprint_Metrics!$F$7:$F$16)))</f>
        <v>8</v>
      </c>
      <c r="D72" s="29" t="n">
        <f aca="false">INDEX(Sprint_Metrics!$F$7:$F$16,RANDBETWEEN(1,ROWS(Sprint_Metrics!$F$7:$F$16)))</f>
        <v>7</v>
      </c>
      <c r="E72" s="29" t="n">
        <f aca="false">INDEX(Sprint_Metrics!$F$7:$F$16,RANDBETWEEN(1,ROWS(Sprint_Metrics!$F$7:$F$16)))</f>
        <v>7</v>
      </c>
      <c r="F72" s="29" t="n">
        <f aca="false">INDEX(Sprint_Metrics!$F$7:$F$16,RANDBETWEEN(1,ROWS(Sprint_Metrics!$F$7:$F$16)))</f>
        <v>9</v>
      </c>
      <c r="G72" s="29" t="n">
        <f aca="false">INDEX(Sprint_Metrics!$F$7:$F$16,RANDBETWEEN(1,ROWS(Sprint_Metrics!$F$7:$F$16)))</f>
        <v>8</v>
      </c>
      <c r="H72" s="29" t="n">
        <f aca="false">INDEX(Sprint_Metrics!$F$7:$F$16,RANDBETWEEN(1,ROWS(Sprint_Metrics!$F$7:$F$16)))</f>
        <v>8</v>
      </c>
      <c r="I72" s="29" t="n">
        <f aca="false">INDEX(Sprint_Metrics!$F$7:$F$16,RANDBETWEEN(1,ROWS(Sprint_Metrics!$F$7:$F$16)))</f>
        <v>7</v>
      </c>
      <c r="J72" s="29" t="n">
        <f aca="false">B72</f>
        <v>8</v>
      </c>
      <c r="K72" s="29" t="n">
        <f aca="false">J72+C72</f>
        <v>16</v>
      </c>
      <c r="L72" s="29" t="n">
        <f aca="false">K72+D72</f>
        <v>23</v>
      </c>
      <c r="M72" s="29" t="n">
        <f aca="false">L72+E72</f>
        <v>30</v>
      </c>
      <c r="N72" s="29" t="n">
        <f aca="false">M72+F72</f>
        <v>39</v>
      </c>
      <c r="O72" s="29" t="n">
        <f aca="false">N72+G72</f>
        <v>47</v>
      </c>
      <c r="P72" s="29" t="n">
        <f aca="false">O72+H72</f>
        <v>55</v>
      </c>
      <c r="Q72" s="29" t="n">
        <f aca="false">P72+I72</f>
        <v>62</v>
      </c>
    </row>
    <row r="73" customFormat="false" ht="15" hidden="false" customHeight="false" outlineLevel="0" collapsed="false">
      <c r="A73" s="29" t="n">
        <v>72</v>
      </c>
      <c r="B73" s="29" t="n">
        <f aca="false">INDEX(Sprint_Metrics!$F$7:$F$16,RANDBETWEEN(1,ROWS(Sprint_Metrics!$F$7:$F$16)))</f>
        <v>8</v>
      </c>
      <c r="C73" s="29" t="n">
        <f aca="false">INDEX(Sprint_Metrics!$F$7:$F$16,RANDBETWEEN(1,ROWS(Sprint_Metrics!$F$7:$F$16)))</f>
        <v>9</v>
      </c>
      <c r="D73" s="29" t="n">
        <f aca="false">INDEX(Sprint_Metrics!$F$7:$F$16,RANDBETWEEN(1,ROWS(Sprint_Metrics!$F$7:$F$16)))</f>
        <v>12</v>
      </c>
      <c r="E73" s="29" t="n">
        <f aca="false">INDEX(Sprint_Metrics!$F$7:$F$16,RANDBETWEEN(1,ROWS(Sprint_Metrics!$F$7:$F$16)))</f>
        <v>7</v>
      </c>
      <c r="F73" s="29" t="n">
        <f aca="false">INDEX(Sprint_Metrics!$F$7:$F$16,RANDBETWEEN(1,ROWS(Sprint_Metrics!$F$7:$F$16)))</f>
        <v>7</v>
      </c>
      <c r="G73" s="29" t="n">
        <f aca="false">INDEX(Sprint_Metrics!$F$7:$F$16,RANDBETWEEN(1,ROWS(Sprint_Metrics!$F$7:$F$16)))</f>
        <v>8</v>
      </c>
      <c r="H73" s="29" t="n">
        <f aca="false">INDEX(Sprint_Metrics!$F$7:$F$16,RANDBETWEEN(1,ROWS(Sprint_Metrics!$F$7:$F$16)))</f>
        <v>11</v>
      </c>
      <c r="I73" s="29" t="n">
        <f aca="false">INDEX(Sprint_Metrics!$F$7:$F$16,RANDBETWEEN(1,ROWS(Sprint_Metrics!$F$7:$F$16)))</f>
        <v>9</v>
      </c>
      <c r="J73" s="29" t="n">
        <f aca="false">B73</f>
        <v>8</v>
      </c>
      <c r="K73" s="29" t="n">
        <f aca="false">J73+C73</f>
        <v>17</v>
      </c>
      <c r="L73" s="29" t="n">
        <f aca="false">K73+D73</f>
        <v>29</v>
      </c>
      <c r="M73" s="29" t="n">
        <f aca="false">L73+E73</f>
        <v>36</v>
      </c>
      <c r="N73" s="29" t="n">
        <f aca="false">M73+F73</f>
        <v>43</v>
      </c>
      <c r="O73" s="29" t="n">
        <f aca="false">N73+G73</f>
        <v>51</v>
      </c>
      <c r="P73" s="29" t="n">
        <f aca="false">O73+H73</f>
        <v>62</v>
      </c>
      <c r="Q73" s="29" t="n">
        <f aca="false">P73+I73</f>
        <v>71</v>
      </c>
    </row>
    <row r="74" customFormat="false" ht="15" hidden="false" customHeight="false" outlineLevel="0" collapsed="false">
      <c r="A74" s="29" t="n">
        <v>73</v>
      </c>
      <c r="B74" s="29" t="n">
        <f aca="false">INDEX(Sprint_Metrics!$F$7:$F$16,RANDBETWEEN(1,ROWS(Sprint_Metrics!$F$7:$F$16)))</f>
        <v>8</v>
      </c>
      <c r="C74" s="29" t="n">
        <f aca="false">INDEX(Sprint_Metrics!$F$7:$F$16,RANDBETWEEN(1,ROWS(Sprint_Metrics!$F$7:$F$16)))</f>
        <v>7</v>
      </c>
      <c r="D74" s="29" t="n">
        <f aca="false">INDEX(Sprint_Metrics!$F$7:$F$16,RANDBETWEEN(1,ROWS(Sprint_Metrics!$F$7:$F$16)))</f>
        <v>7</v>
      </c>
      <c r="E74" s="29" t="n">
        <f aca="false">INDEX(Sprint_Metrics!$F$7:$F$16,RANDBETWEEN(1,ROWS(Sprint_Metrics!$F$7:$F$16)))</f>
        <v>11</v>
      </c>
      <c r="F74" s="29" t="n">
        <f aca="false">INDEX(Sprint_Metrics!$F$7:$F$16,RANDBETWEEN(1,ROWS(Sprint_Metrics!$F$7:$F$16)))</f>
        <v>7</v>
      </c>
      <c r="G74" s="29" t="n">
        <f aca="false">INDEX(Sprint_Metrics!$F$7:$F$16,RANDBETWEEN(1,ROWS(Sprint_Metrics!$F$7:$F$16)))</f>
        <v>12</v>
      </c>
      <c r="H74" s="29" t="n">
        <f aca="false">INDEX(Sprint_Metrics!$F$7:$F$16,RANDBETWEEN(1,ROWS(Sprint_Metrics!$F$7:$F$16)))</f>
        <v>9</v>
      </c>
      <c r="I74" s="29" t="n">
        <f aca="false">INDEX(Sprint_Metrics!$F$7:$F$16,RANDBETWEEN(1,ROWS(Sprint_Metrics!$F$7:$F$16)))</f>
        <v>7</v>
      </c>
      <c r="J74" s="29" t="n">
        <f aca="false">B74</f>
        <v>8</v>
      </c>
      <c r="K74" s="29" t="n">
        <f aca="false">J74+C74</f>
        <v>15</v>
      </c>
      <c r="L74" s="29" t="n">
        <f aca="false">K74+D74</f>
        <v>22</v>
      </c>
      <c r="M74" s="29" t="n">
        <f aca="false">L74+E74</f>
        <v>33</v>
      </c>
      <c r="N74" s="29" t="n">
        <f aca="false">M74+F74</f>
        <v>40</v>
      </c>
      <c r="O74" s="29" t="n">
        <f aca="false">N74+G74</f>
        <v>52</v>
      </c>
      <c r="P74" s="29" t="n">
        <f aca="false">O74+H74</f>
        <v>61</v>
      </c>
      <c r="Q74" s="29" t="n">
        <f aca="false">P74+I74</f>
        <v>68</v>
      </c>
    </row>
    <row r="75" customFormat="false" ht="15" hidden="false" customHeight="false" outlineLevel="0" collapsed="false">
      <c r="A75" s="29" t="n">
        <v>74</v>
      </c>
      <c r="B75" s="29" t="n">
        <f aca="false">INDEX(Sprint_Metrics!$F$7:$F$16,RANDBETWEEN(1,ROWS(Sprint_Metrics!$F$7:$F$16)))</f>
        <v>7</v>
      </c>
      <c r="C75" s="29" t="n">
        <f aca="false">INDEX(Sprint_Metrics!$F$7:$F$16,RANDBETWEEN(1,ROWS(Sprint_Metrics!$F$7:$F$16)))</f>
        <v>12</v>
      </c>
      <c r="D75" s="29" t="n">
        <f aca="false">INDEX(Sprint_Metrics!$F$7:$F$16,RANDBETWEEN(1,ROWS(Sprint_Metrics!$F$7:$F$16)))</f>
        <v>9</v>
      </c>
      <c r="E75" s="29" t="n">
        <f aca="false">INDEX(Sprint_Metrics!$F$7:$F$16,RANDBETWEEN(1,ROWS(Sprint_Metrics!$F$7:$F$16)))</f>
        <v>12</v>
      </c>
      <c r="F75" s="29" t="n">
        <f aca="false">INDEX(Sprint_Metrics!$F$7:$F$16,RANDBETWEEN(1,ROWS(Sprint_Metrics!$F$7:$F$16)))</f>
        <v>7</v>
      </c>
      <c r="G75" s="29" t="n">
        <f aca="false">INDEX(Sprint_Metrics!$F$7:$F$16,RANDBETWEEN(1,ROWS(Sprint_Metrics!$F$7:$F$16)))</f>
        <v>12</v>
      </c>
      <c r="H75" s="29" t="n">
        <f aca="false">INDEX(Sprint_Metrics!$F$7:$F$16,RANDBETWEEN(1,ROWS(Sprint_Metrics!$F$7:$F$16)))</f>
        <v>7</v>
      </c>
      <c r="I75" s="29" t="n">
        <f aca="false">INDEX(Sprint_Metrics!$F$7:$F$16,RANDBETWEEN(1,ROWS(Sprint_Metrics!$F$7:$F$16)))</f>
        <v>11</v>
      </c>
      <c r="J75" s="29" t="n">
        <f aca="false">B75</f>
        <v>7</v>
      </c>
      <c r="K75" s="29" t="n">
        <f aca="false">J75+C75</f>
        <v>19</v>
      </c>
      <c r="L75" s="29" t="n">
        <f aca="false">K75+D75</f>
        <v>28</v>
      </c>
      <c r="M75" s="29" t="n">
        <f aca="false">L75+E75</f>
        <v>40</v>
      </c>
      <c r="N75" s="29" t="n">
        <f aca="false">M75+F75</f>
        <v>47</v>
      </c>
      <c r="O75" s="29" t="n">
        <f aca="false">N75+G75</f>
        <v>59</v>
      </c>
      <c r="P75" s="29" t="n">
        <f aca="false">O75+H75</f>
        <v>66</v>
      </c>
      <c r="Q75" s="29" t="n">
        <f aca="false">P75+I75</f>
        <v>77</v>
      </c>
    </row>
    <row r="76" customFormat="false" ht="15" hidden="false" customHeight="false" outlineLevel="0" collapsed="false">
      <c r="A76" s="29" t="n">
        <v>75</v>
      </c>
      <c r="B76" s="29" t="n">
        <f aca="false">INDEX(Sprint_Metrics!$F$7:$F$16,RANDBETWEEN(1,ROWS(Sprint_Metrics!$F$7:$F$16)))</f>
        <v>8</v>
      </c>
      <c r="C76" s="29" t="n">
        <f aca="false">INDEX(Sprint_Metrics!$F$7:$F$16,RANDBETWEEN(1,ROWS(Sprint_Metrics!$F$7:$F$16)))</f>
        <v>7</v>
      </c>
      <c r="D76" s="29" t="n">
        <f aca="false">INDEX(Sprint_Metrics!$F$7:$F$16,RANDBETWEEN(1,ROWS(Sprint_Metrics!$F$7:$F$16)))</f>
        <v>8</v>
      </c>
      <c r="E76" s="29" t="n">
        <f aca="false">INDEX(Sprint_Metrics!$F$7:$F$16,RANDBETWEEN(1,ROWS(Sprint_Metrics!$F$7:$F$16)))</f>
        <v>11</v>
      </c>
      <c r="F76" s="29" t="n">
        <f aca="false">INDEX(Sprint_Metrics!$F$7:$F$16,RANDBETWEEN(1,ROWS(Sprint_Metrics!$F$7:$F$16)))</f>
        <v>12</v>
      </c>
      <c r="G76" s="29" t="n">
        <f aca="false">INDEX(Sprint_Metrics!$F$7:$F$16,RANDBETWEEN(1,ROWS(Sprint_Metrics!$F$7:$F$16)))</f>
        <v>8</v>
      </c>
      <c r="H76" s="29" t="n">
        <f aca="false">INDEX(Sprint_Metrics!$F$7:$F$16,RANDBETWEEN(1,ROWS(Sprint_Metrics!$F$7:$F$16)))</f>
        <v>7</v>
      </c>
      <c r="I76" s="29" t="n">
        <f aca="false">INDEX(Sprint_Metrics!$F$7:$F$16,RANDBETWEEN(1,ROWS(Sprint_Metrics!$F$7:$F$16)))</f>
        <v>8</v>
      </c>
      <c r="J76" s="29" t="n">
        <f aca="false">B76</f>
        <v>8</v>
      </c>
      <c r="K76" s="29" t="n">
        <f aca="false">J76+C76</f>
        <v>15</v>
      </c>
      <c r="L76" s="29" t="n">
        <f aca="false">K76+D76</f>
        <v>23</v>
      </c>
      <c r="M76" s="29" t="n">
        <f aca="false">L76+E76</f>
        <v>34</v>
      </c>
      <c r="N76" s="29" t="n">
        <f aca="false">M76+F76</f>
        <v>46</v>
      </c>
      <c r="O76" s="29" t="n">
        <f aca="false">N76+G76</f>
        <v>54</v>
      </c>
      <c r="P76" s="29" t="n">
        <f aca="false">O76+H76</f>
        <v>61</v>
      </c>
      <c r="Q76" s="29" t="n">
        <f aca="false">P76+I76</f>
        <v>69</v>
      </c>
    </row>
    <row r="77" customFormat="false" ht="15" hidden="false" customHeight="false" outlineLevel="0" collapsed="false">
      <c r="A77" s="29" t="n">
        <v>76</v>
      </c>
      <c r="B77" s="29" t="n">
        <f aca="false">INDEX(Sprint_Metrics!$F$7:$F$16,RANDBETWEEN(1,ROWS(Sprint_Metrics!$F$7:$F$16)))</f>
        <v>8</v>
      </c>
      <c r="C77" s="29" t="n">
        <f aca="false">INDEX(Sprint_Metrics!$F$7:$F$16,RANDBETWEEN(1,ROWS(Sprint_Metrics!$F$7:$F$16)))</f>
        <v>11</v>
      </c>
      <c r="D77" s="29" t="n">
        <f aca="false">INDEX(Sprint_Metrics!$F$7:$F$16,RANDBETWEEN(1,ROWS(Sprint_Metrics!$F$7:$F$16)))</f>
        <v>7</v>
      </c>
      <c r="E77" s="29" t="n">
        <f aca="false">INDEX(Sprint_Metrics!$F$7:$F$16,RANDBETWEEN(1,ROWS(Sprint_Metrics!$F$7:$F$16)))</f>
        <v>8</v>
      </c>
      <c r="F77" s="29" t="n">
        <f aca="false">INDEX(Sprint_Metrics!$F$7:$F$16,RANDBETWEEN(1,ROWS(Sprint_Metrics!$F$7:$F$16)))</f>
        <v>8</v>
      </c>
      <c r="G77" s="29" t="n">
        <f aca="false">INDEX(Sprint_Metrics!$F$7:$F$16,RANDBETWEEN(1,ROWS(Sprint_Metrics!$F$7:$F$16)))</f>
        <v>11</v>
      </c>
      <c r="H77" s="29" t="n">
        <f aca="false">INDEX(Sprint_Metrics!$F$7:$F$16,RANDBETWEEN(1,ROWS(Sprint_Metrics!$F$7:$F$16)))</f>
        <v>11</v>
      </c>
      <c r="I77" s="29" t="n">
        <f aca="false">INDEX(Sprint_Metrics!$F$7:$F$16,RANDBETWEEN(1,ROWS(Sprint_Metrics!$F$7:$F$16)))</f>
        <v>8</v>
      </c>
      <c r="J77" s="29" t="n">
        <f aca="false">B77</f>
        <v>8</v>
      </c>
      <c r="K77" s="29" t="n">
        <f aca="false">J77+C77</f>
        <v>19</v>
      </c>
      <c r="L77" s="29" t="n">
        <f aca="false">K77+D77</f>
        <v>26</v>
      </c>
      <c r="M77" s="29" t="n">
        <f aca="false">L77+E77</f>
        <v>34</v>
      </c>
      <c r="N77" s="29" t="n">
        <f aca="false">M77+F77</f>
        <v>42</v>
      </c>
      <c r="O77" s="29" t="n">
        <f aca="false">N77+G77</f>
        <v>53</v>
      </c>
      <c r="P77" s="29" t="n">
        <f aca="false">O77+H77</f>
        <v>64</v>
      </c>
      <c r="Q77" s="29" t="n">
        <f aca="false">P77+I77</f>
        <v>72</v>
      </c>
    </row>
    <row r="78" customFormat="false" ht="15" hidden="false" customHeight="false" outlineLevel="0" collapsed="false">
      <c r="A78" s="29" t="n">
        <v>77</v>
      </c>
      <c r="B78" s="29" t="n">
        <f aca="false">INDEX(Sprint_Metrics!$F$7:$F$16,RANDBETWEEN(1,ROWS(Sprint_Metrics!$F$7:$F$16)))</f>
        <v>12</v>
      </c>
      <c r="C78" s="29" t="n">
        <f aca="false">INDEX(Sprint_Metrics!$F$7:$F$16,RANDBETWEEN(1,ROWS(Sprint_Metrics!$F$7:$F$16)))</f>
        <v>8</v>
      </c>
      <c r="D78" s="29" t="n">
        <f aca="false">INDEX(Sprint_Metrics!$F$7:$F$16,RANDBETWEEN(1,ROWS(Sprint_Metrics!$F$7:$F$16)))</f>
        <v>11</v>
      </c>
      <c r="E78" s="29" t="n">
        <f aca="false">INDEX(Sprint_Metrics!$F$7:$F$16,RANDBETWEEN(1,ROWS(Sprint_Metrics!$F$7:$F$16)))</f>
        <v>7</v>
      </c>
      <c r="F78" s="29" t="n">
        <f aca="false">INDEX(Sprint_Metrics!$F$7:$F$16,RANDBETWEEN(1,ROWS(Sprint_Metrics!$F$7:$F$16)))</f>
        <v>7</v>
      </c>
      <c r="G78" s="29" t="n">
        <f aca="false">INDEX(Sprint_Metrics!$F$7:$F$16,RANDBETWEEN(1,ROWS(Sprint_Metrics!$F$7:$F$16)))</f>
        <v>7</v>
      </c>
      <c r="H78" s="29" t="n">
        <f aca="false">INDEX(Sprint_Metrics!$F$7:$F$16,RANDBETWEEN(1,ROWS(Sprint_Metrics!$F$7:$F$16)))</f>
        <v>7</v>
      </c>
      <c r="I78" s="29" t="n">
        <f aca="false">INDEX(Sprint_Metrics!$F$7:$F$16,RANDBETWEEN(1,ROWS(Sprint_Metrics!$F$7:$F$16)))</f>
        <v>8</v>
      </c>
      <c r="J78" s="29" t="n">
        <f aca="false">B78</f>
        <v>12</v>
      </c>
      <c r="K78" s="29" t="n">
        <f aca="false">J78+C78</f>
        <v>20</v>
      </c>
      <c r="L78" s="29" t="n">
        <f aca="false">K78+D78</f>
        <v>31</v>
      </c>
      <c r="M78" s="29" t="n">
        <f aca="false">L78+E78</f>
        <v>38</v>
      </c>
      <c r="N78" s="29" t="n">
        <f aca="false">M78+F78</f>
        <v>45</v>
      </c>
      <c r="O78" s="29" t="n">
        <f aca="false">N78+G78</f>
        <v>52</v>
      </c>
      <c r="P78" s="29" t="n">
        <f aca="false">O78+H78</f>
        <v>59</v>
      </c>
      <c r="Q78" s="29" t="n">
        <f aca="false">P78+I78</f>
        <v>67</v>
      </c>
    </row>
    <row r="79" customFormat="false" ht="15" hidden="false" customHeight="false" outlineLevel="0" collapsed="false">
      <c r="A79" s="29" t="n">
        <v>78</v>
      </c>
      <c r="B79" s="29" t="n">
        <f aca="false">INDEX(Sprint_Metrics!$F$7:$F$16,RANDBETWEEN(1,ROWS(Sprint_Metrics!$F$7:$F$16)))</f>
        <v>11</v>
      </c>
      <c r="C79" s="29" t="n">
        <f aca="false">INDEX(Sprint_Metrics!$F$7:$F$16,RANDBETWEEN(1,ROWS(Sprint_Metrics!$F$7:$F$16)))</f>
        <v>12</v>
      </c>
      <c r="D79" s="29" t="n">
        <f aca="false">INDEX(Sprint_Metrics!$F$7:$F$16,RANDBETWEEN(1,ROWS(Sprint_Metrics!$F$7:$F$16)))</f>
        <v>7</v>
      </c>
      <c r="E79" s="29" t="n">
        <f aca="false">INDEX(Sprint_Metrics!$F$7:$F$16,RANDBETWEEN(1,ROWS(Sprint_Metrics!$F$7:$F$16)))</f>
        <v>8</v>
      </c>
      <c r="F79" s="29" t="n">
        <f aca="false">INDEX(Sprint_Metrics!$F$7:$F$16,RANDBETWEEN(1,ROWS(Sprint_Metrics!$F$7:$F$16)))</f>
        <v>9</v>
      </c>
      <c r="G79" s="29" t="n">
        <f aca="false">INDEX(Sprint_Metrics!$F$7:$F$16,RANDBETWEEN(1,ROWS(Sprint_Metrics!$F$7:$F$16)))</f>
        <v>7</v>
      </c>
      <c r="H79" s="29" t="n">
        <f aca="false">INDEX(Sprint_Metrics!$F$7:$F$16,RANDBETWEEN(1,ROWS(Sprint_Metrics!$F$7:$F$16)))</f>
        <v>8</v>
      </c>
      <c r="I79" s="29" t="n">
        <f aca="false">INDEX(Sprint_Metrics!$F$7:$F$16,RANDBETWEEN(1,ROWS(Sprint_Metrics!$F$7:$F$16)))</f>
        <v>9</v>
      </c>
      <c r="J79" s="29" t="n">
        <f aca="false">B79</f>
        <v>11</v>
      </c>
      <c r="K79" s="29" t="n">
        <f aca="false">J79+C79</f>
        <v>23</v>
      </c>
      <c r="L79" s="29" t="n">
        <f aca="false">K79+D79</f>
        <v>30</v>
      </c>
      <c r="M79" s="29" t="n">
        <f aca="false">L79+E79</f>
        <v>38</v>
      </c>
      <c r="N79" s="29" t="n">
        <f aca="false">M79+F79</f>
        <v>47</v>
      </c>
      <c r="O79" s="29" t="n">
        <f aca="false">N79+G79</f>
        <v>54</v>
      </c>
      <c r="P79" s="29" t="n">
        <f aca="false">O79+H79</f>
        <v>62</v>
      </c>
      <c r="Q79" s="29" t="n">
        <f aca="false">P79+I79</f>
        <v>71</v>
      </c>
    </row>
    <row r="80" customFormat="false" ht="15" hidden="false" customHeight="false" outlineLevel="0" collapsed="false">
      <c r="A80" s="29" t="n">
        <v>79</v>
      </c>
      <c r="B80" s="29" t="n">
        <f aca="false">INDEX(Sprint_Metrics!$F$7:$F$16,RANDBETWEEN(1,ROWS(Sprint_Metrics!$F$7:$F$16)))</f>
        <v>9</v>
      </c>
      <c r="C80" s="29" t="n">
        <f aca="false">INDEX(Sprint_Metrics!$F$7:$F$16,RANDBETWEEN(1,ROWS(Sprint_Metrics!$F$7:$F$16)))</f>
        <v>11</v>
      </c>
      <c r="D80" s="29" t="n">
        <f aca="false">INDEX(Sprint_Metrics!$F$7:$F$16,RANDBETWEEN(1,ROWS(Sprint_Metrics!$F$7:$F$16)))</f>
        <v>7</v>
      </c>
      <c r="E80" s="29" t="n">
        <f aca="false">INDEX(Sprint_Metrics!$F$7:$F$16,RANDBETWEEN(1,ROWS(Sprint_Metrics!$F$7:$F$16)))</f>
        <v>12</v>
      </c>
      <c r="F80" s="29" t="n">
        <f aca="false">INDEX(Sprint_Metrics!$F$7:$F$16,RANDBETWEEN(1,ROWS(Sprint_Metrics!$F$7:$F$16)))</f>
        <v>7</v>
      </c>
      <c r="G80" s="29" t="n">
        <f aca="false">INDEX(Sprint_Metrics!$F$7:$F$16,RANDBETWEEN(1,ROWS(Sprint_Metrics!$F$7:$F$16)))</f>
        <v>12</v>
      </c>
      <c r="H80" s="29" t="n">
        <f aca="false">INDEX(Sprint_Metrics!$F$7:$F$16,RANDBETWEEN(1,ROWS(Sprint_Metrics!$F$7:$F$16)))</f>
        <v>11</v>
      </c>
      <c r="I80" s="29" t="n">
        <f aca="false">INDEX(Sprint_Metrics!$F$7:$F$16,RANDBETWEEN(1,ROWS(Sprint_Metrics!$F$7:$F$16)))</f>
        <v>8</v>
      </c>
      <c r="J80" s="29" t="n">
        <f aca="false">B80</f>
        <v>9</v>
      </c>
      <c r="K80" s="29" t="n">
        <f aca="false">J80+C80</f>
        <v>20</v>
      </c>
      <c r="L80" s="29" t="n">
        <f aca="false">K80+D80</f>
        <v>27</v>
      </c>
      <c r="M80" s="29" t="n">
        <f aca="false">L80+E80</f>
        <v>39</v>
      </c>
      <c r="N80" s="29" t="n">
        <f aca="false">M80+F80</f>
        <v>46</v>
      </c>
      <c r="O80" s="29" t="n">
        <f aca="false">N80+G80</f>
        <v>58</v>
      </c>
      <c r="P80" s="29" t="n">
        <f aca="false">O80+H80</f>
        <v>69</v>
      </c>
      <c r="Q80" s="29" t="n">
        <f aca="false">P80+I80</f>
        <v>77</v>
      </c>
    </row>
    <row r="81" customFormat="false" ht="15" hidden="false" customHeight="false" outlineLevel="0" collapsed="false">
      <c r="A81" s="29" t="n">
        <v>80</v>
      </c>
      <c r="B81" s="29" t="n">
        <f aca="false">INDEX(Sprint_Metrics!$F$7:$F$16,RANDBETWEEN(1,ROWS(Sprint_Metrics!$F$7:$F$16)))</f>
        <v>7</v>
      </c>
      <c r="C81" s="29" t="n">
        <f aca="false">INDEX(Sprint_Metrics!$F$7:$F$16,RANDBETWEEN(1,ROWS(Sprint_Metrics!$F$7:$F$16)))</f>
        <v>8</v>
      </c>
      <c r="D81" s="29" t="n">
        <f aca="false">INDEX(Sprint_Metrics!$F$7:$F$16,RANDBETWEEN(1,ROWS(Sprint_Metrics!$F$7:$F$16)))</f>
        <v>12</v>
      </c>
      <c r="E81" s="29" t="n">
        <f aca="false">INDEX(Sprint_Metrics!$F$7:$F$16,RANDBETWEEN(1,ROWS(Sprint_Metrics!$F$7:$F$16)))</f>
        <v>8</v>
      </c>
      <c r="F81" s="29" t="n">
        <f aca="false">INDEX(Sprint_Metrics!$F$7:$F$16,RANDBETWEEN(1,ROWS(Sprint_Metrics!$F$7:$F$16)))</f>
        <v>8</v>
      </c>
      <c r="G81" s="29" t="n">
        <f aca="false">INDEX(Sprint_Metrics!$F$7:$F$16,RANDBETWEEN(1,ROWS(Sprint_Metrics!$F$7:$F$16)))</f>
        <v>7</v>
      </c>
      <c r="H81" s="29" t="n">
        <f aca="false">INDEX(Sprint_Metrics!$F$7:$F$16,RANDBETWEEN(1,ROWS(Sprint_Metrics!$F$7:$F$16)))</f>
        <v>7</v>
      </c>
      <c r="I81" s="29" t="n">
        <f aca="false">INDEX(Sprint_Metrics!$F$7:$F$16,RANDBETWEEN(1,ROWS(Sprint_Metrics!$F$7:$F$16)))</f>
        <v>11</v>
      </c>
      <c r="J81" s="29" t="n">
        <f aca="false">B81</f>
        <v>7</v>
      </c>
      <c r="K81" s="29" t="n">
        <f aca="false">J81+C81</f>
        <v>15</v>
      </c>
      <c r="L81" s="29" t="n">
        <f aca="false">K81+D81</f>
        <v>27</v>
      </c>
      <c r="M81" s="29" t="n">
        <f aca="false">L81+E81</f>
        <v>35</v>
      </c>
      <c r="N81" s="29" t="n">
        <f aca="false">M81+F81</f>
        <v>43</v>
      </c>
      <c r="O81" s="29" t="n">
        <f aca="false">N81+G81</f>
        <v>50</v>
      </c>
      <c r="P81" s="29" t="n">
        <f aca="false">O81+H81</f>
        <v>57</v>
      </c>
      <c r="Q81" s="29" t="n">
        <f aca="false">P81+I81</f>
        <v>68</v>
      </c>
    </row>
    <row r="82" customFormat="false" ht="15" hidden="false" customHeight="false" outlineLevel="0" collapsed="false">
      <c r="A82" s="29" t="n">
        <v>81</v>
      </c>
      <c r="B82" s="29" t="n">
        <f aca="false">INDEX(Sprint_Metrics!$F$7:$F$16,RANDBETWEEN(1,ROWS(Sprint_Metrics!$F$7:$F$16)))</f>
        <v>8</v>
      </c>
      <c r="C82" s="29" t="n">
        <f aca="false">INDEX(Sprint_Metrics!$F$7:$F$16,RANDBETWEEN(1,ROWS(Sprint_Metrics!$F$7:$F$16)))</f>
        <v>8</v>
      </c>
      <c r="D82" s="29" t="n">
        <f aca="false">INDEX(Sprint_Metrics!$F$7:$F$16,RANDBETWEEN(1,ROWS(Sprint_Metrics!$F$7:$F$16)))</f>
        <v>9</v>
      </c>
      <c r="E82" s="29" t="n">
        <f aca="false">INDEX(Sprint_Metrics!$F$7:$F$16,RANDBETWEEN(1,ROWS(Sprint_Metrics!$F$7:$F$16)))</f>
        <v>8</v>
      </c>
      <c r="F82" s="29" t="n">
        <f aca="false">INDEX(Sprint_Metrics!$F$7:$F$16,RANDBETWEEN(1,ROWS(Sprint_Metrics!$F$7:$F$16)))</f>
        <v>9</v>
      </c>
      <c r="G82" s="29" t="n">
        <f aca="false">INDEX(Sprint_Metrics!$F$7:$F$16,RANDBETWEEN(1,ROWS(Sprint_Metrics!$F$7:$F$16)))</f>
        <v>9</v>
      </c>
      <c r="H82" s="29" t="n">
        <f aca="false">INDEX(Sprint_Metrics!$F$7:$F$16,RANDBETWEEN(1,ROWS(Sprint_Metrics!$F$7:$F$16)))</f>
        <v>8</v>
      </c>
      <c r="I82" s="29" t="n">
        <f aca="false">INDEX(Sprint_Metrics!$F$7:$F$16,RANDBETWEEN(1,ROWS(Sprint_Metrics!$F$7:$F$16)))</f>
        <v>12</v>
      </c>
      <c r="J82" s="29" t="n">
        <f aca="false">B82</f>
        <v>8</v>
      </c>
      <c r="K82" s="29" t="n">
        <f aca="false">J82+C82</f>
        <v>16</v>
      </c>
      <c r="L82" s="29" t="n">
        <f aca="false">K82+D82</f>
        <v>25</v>
      </c>
      <c r="M82" s="29" t="n">
        <f aca="false">L82+E82</f>
        <v>33</v>
      </c>
      <c r="N82" s="29" t="n">
        <f aca="false">M82+F82</f>
        <v>42</v>
      </c>
      <c r="O82" s="29" t="n">
        <f aca="false">N82+G82</f>
        <v>51</v>
      </c>
      <c r="P82" s="29" t="n">
        <f aca="false">O82+H82</f>
        <v>59</v>
      </c>
      <c r="Q82" s="29" t="n">
        <f aca="false">P82+I82</f>
        <v>71</v>
      </c>
    </row>
    <row r="83" customFormat="false" ht="15" hidden="false" customHeight="false" outlineLevel="0" collapsed="false">
      <c r="A83" s="29" t="n">
        <v>82</v>
      </c>
      <c r="B83" s="29" t="n">
        <f aca="false">INDEX(Sprint_Metrics!$F$7:$F$16,RANDBETWEEN(1,ROWS(Sprint_Metrics!$F$7:$F$16)))</f>
        <v>11</v>
      </c>
      <c r="C83" s="29" t="n">
        <f aca="false">INDEX(Sprint_Metrics!$F$7:$F$16,RANDBETWEEN(1,ROWS(Sprint_Metrics!$F$7:$F$16)))</f>
        <v>8</v>
      </c>
      <c r="D83" s="29" t="n">
        <f aca="false">INDEX(Sprint_Metrics!$F$7:$F$16,RANDBETWEEN(1,ROWS(Sprint_Metrics!$F$7:$F$16)))</f>
        <v>12</v>
      </c>
      <c r="E83" s="29" t="n">
        <f aca="false">INDEX(Sprint_Metrics!$F$7:$F$16,RANDBETWEEN(1,ROWS(Sprint_Metrics!$F$7:$F$16)))</f>
        <v>7</v>
      </c>
      <c r="F83" s="29" t="n">
        <f aca="false">INDEX(Sprint_Metrics!$F$7:$F$16,RANDBETWEEN(1,ROWS(Sprint_Metrics!$F$7:$F$16)))</f>
        <v>11</v>
      </c>
      <c r="G83" s="29" t="n">
        <f aca="false">INDEX(Sprint_Metrics!$F$7:$F$16,RANDBETWEEN(1,ROWS(Sprint_Metrics!$F$7:$F$16)))</f>
        <v>9</v>
      </c>
      <c r="H83" s="29" t="n">
        <f aca="false">INDEX(Sprint_Metrics!$F$7:$F$16,RANDBETWEEN(1,ROWS(Sprint_Metrics!$F$7:$F$16)))</f>
        <v>7</v>
      </c>
      <c r="I83" s="29" t="n">
        <f aca="false">INDEX(Sprint_Metrics!$F$7:$F$16,RANDBETWEEN(1,ROWS(Sprint_Metrics!$F$7:$F$16)))</f>
        <v>7</v>
      </c>
      <c r="J83" s="29" t="n">
        <f aca="false">B83</f>
        <v>11</v>
      </c>
      <c r="K83" s="29" t="n">
        <f aca="false">J83+C83</f>
        <v>19</v>
      </c>
      <c r="L83" s="29" t="n">
        <f aca="false">K83+D83</f>
        <v>31</v>
      </c>
      <c r="M83" s="29" t="n">
        <f aca="false">L83+E83</f>
        <v>38</v>
      </c>
      <c r="N83" s="29" t="n">
        <f aca="false">M83+F83</f>
        <v>49</v>
      </c>
      <c r="O83" s="29" t="n">
        <f aca="false">N83+G83</f>
        <v>58</v>
      </c>
      <c r="P83" s="29" t="n">
        <f aca="false">O83+H83</f>
        <v>65</v>
      </c>
      <c r="Q83" s="29" t="n">
        <f aca="false">P83+I83</f>
        <v>72</v>
      </c>
    </row>
    <row r="84" customFormat="false" ht="15" hidden="false" customHeight="false" outlineLevel="0" collapsed="false">
      <c r="A84" s="29" t="n">
        <v>83</v>
      </c>
      <c r="B84" s="29" t="n">
        <f aca="false">INDEX(Sprint_Metrics!$F$7:$F$16,RANDBETWEEN(1,ROWS(Sprint_Metrics!$F$7:$F$16)))</f>
        <v>8</v>
      </c>
      <c r="C84" s="29" t="n">
        <f aca="false">INDEX(Sprint_Metrics!$F$7:$F$16,RANDBETWEEN(1,ROWS(Sprint_Metrics!$F$7:$F$16)))</f>
        <v>11</v>
      </c>
      <c r="D84" s="29" t="n">
        <f aca="false">INDEX(Sprint_Metrics!$F$7:$F$16,RANDBETWEEN(1,ROWS(Sprint_Metrics!$F$7:$F$16)))</f>
        <v>7</v>
      </c>
      <c r="E84" s="29" t="n">
        <f aca="false">INDEX(Sprint_Metrics!$F$7:$F$16,RANDBETWEEN(1,ROWS(Sprint_Metrics!$F$7:$F$16)))</f>
        <v>9</v>
      </c>
      <c r="F84" s="29" t="n">
        <f aca="false">INDEX(Sprint_Metrics!$F$7:$F$16,RANDBETWEEN(1,ROWS(Sprint_Metrics!$F$7:$F$16)))</f>
        <v>11</v>
      </c>
      <c r="G84" s="29" t="n">
        <f aca="false">INDEX(Sprint_Metrics!$F$7:$F$16,RANDBETWEEN(1,ROWS(Sprint_Metrics!$F$7:$F$16)))</f>
        <v>7</v>
      </c>
      <c r="H84" s="29" t="n">
        <f aca="false">INDEX(Sprint_Metrics!$F$7:$F$16,RANDBETWEEN(1,ROWS(Sprint_Metrics!$F$7:$F$16)))</f>
        <v>9</v>
      </c>
      <c r="I84" s="29" t="n">
        <f aca="false">INDEX(Sprint_Metrics!$F$7:$F$16,RANDBETWEEN(1,ROWS(Sprint_Metrics!$F$7:$F$16)))</f>
        <v>11</v>
      </c>
      <c r="J84" s="29" t="n">
        <f aca="false">B84</f>
        <v>8</v>
      </c>
      <c r="K84" s="29" t="n">
        <f aca="false">J84+C84</f>
        <v>19</v>
      </c>
      <c r="L84" s="29" t="n">
        <f aca="false">K84+D84</f>
        <v>26</v>
      </c>
      <c r="M84" s="29" t="n">
        <f aca="false">L84+E84</f>
        <v>35</v>
      </c>
      <c r="N84" s="29" t="n">
        <f aca="false">M84+F84</f>
        <v>46</v>
      </c>
      <c r="O84" s="29" t="n">
        <f aca="false">N84+G84</f>
        <v>53</v>
      </c>
      <c r="P84" s="29" t="n">
        <f aca="false">O84+H84</f>
        <v>62</v>
      </c>
      <c r="Q84" s="29" t="n">
        <f aca="false">P84+I84</f>
        <v>73</v>
      </c>
    </row>
    <row r="85" customFormat="false" ht="15" hidden="false" customHeight="false" outlineLevel="0" collapsed="false">
      <c r="A85" s="29" t="n">
        <v>84</v>
      </c>
      <c r="B85" s="29" t="n">
        <f aca="false">INDEX(Sprint_Metrics!$F$7:$F$16,RANDBETWEEN(1,ROWS(Sprint_Metrics!$F$7:$F$16)))</f>
        <v>7</v>
      </c>
      <c r="C85" s="29" t="n">
        <f aca="false">INDEX(Sprint_Metrics!$F$7:$F$16,RANDBETWEEN(1,ROWS(Sprint_Metrics!$F$7:$F$16)))</f>
        <v>11</v>
      </c>
      <c r="D85" s="29" t="n">
        <f aca="false">INDEX(Sprint_Metrics!$F$7:$F$16,RANDBETWEEN(1,ROWS(Sprint_Metrics!$F$7:$F$16)))</f>
        <v>7</v>
      </c>
      <c r="E85" s="29" t="n">
        <f aca="false">INDEX(Sprint_Metrics!$F$7:$F$16,RANDBETWEEN(1,ROWS(Sprint_Metrics!$F$7:$F$16)))</f>
        <v>8</v>
      </c>
      <c r="F85" s="29" t="n">
        <f aca="false">INDEX(Sprint_Metrics!$F$7:$F$16,RANDBETWEEN(1,ROWS(Sprint_Metrics!$F$7:$F$16)))</f>
        <v>11</v>
      </c>
      <c r="G85" s="29" t="n">
        <f aca="false">INDEX(Sprint_Metrics!$F$7:$F$16,RANDBETWEEN(1,ROWS(Sprint_Metrics!$F$7:$F$16)))</f>
        <v>8</v>
      </c>
      <c r="H85" s="29" t="n">
        <f aca="false">INDEX(Sprint_Metrics!$F$7:$F$16,RANDBETWEEN(1,ROWS(Sprint_Metrics!$F$7:$F$16)))</f>
        <v>8</v>
      </c>
      <c r="I85" s="29" t="n">
        <f aca="false">INDEX(Sprint_Metrics!$F$7:$F$16,RANDBETWEEN(1,ROWS(Sprint_Metrics!$F$7:$F$16)))</f>
        <v>7</v>
      </c>
      <c r="J85" s="29" t="n">
        <f aca="false">B85</f>
        <v>7</v>
      </c>
      <c r="K85" s="29" t="n">
        <f aca="false">J85+C85</f>
        <v>18</v>
      </c>
      <c r="L85" s="29" t="n">
        <f aca="false">K85+D85</f>
        <v>25</v>
      </c>
      <c r="M85" s="29" t="n">
        <f aca="false">L85+E85</f>
        <v>33</v>
      </c>
      <c r="N85" s="29" t="n">
        <f aca="false">M85+F85</f>
        <v>44</v>
      </c>
      <c r="O85" s="29" t="n">
        <f aca="false">N85+G85</f>
        <v>52</v>
      </c>
      <c r="P85" s="29" t="n">
        <f aca="false">O85+H85</f>
        <v>60</v>
      </c>
      <c r="Q85" s="29" t="n">
        <f aca="false">P85+I85</f>
        <v>67</v>
      </c>
    </row>
    <row r="86" customFormat="false" ht="15" hidden="false" customHeight="false" outlineLevel="0" collapsed="false">
      <c r="A86" s="29" t="n">
        <v>85</v>
      </c>
      <c r="B86" s="29" t="n">
        <f aca="false">INDEX(Sprint_Metrics!$F$7:$F$16,RANDBETWEEN(1,ROWS(Sprint_Metrics!$F$7:$F$16)))</f>
        <v>7</v>
      </c>
      <c r="C86" s="29" t="n">
        <f aca="false">INDEX(Sprint_Metrics!$F$7:$F$16,RANDBETWEEN(1,ROWS(Sprint_Metrics!$F$7:$F$16)))</f>
        <v>11</v>
      </c>
      <c r="D86" s="29" t="n">
        <f aca="false">INDEX(Sprint_Metrics!$F$7:$F$16,RANDBETWEEN(1,ROWS(Sprint_Metrics!$F$7:$F$16)))</f>
        <v>11</v>
      </c>
      <c r="E86" s="29" t="n">
        <f aca="false">INDEX(Sprint_Metrics!$F$7:$F$16,RANDBETWEEN(1,ROWS(Sprint_Metrics!$F$7:$F$16)))</f>
        <v>7</v>
      </c>
      <c r="F86" s="29" t="n">
        <f aca="false">INDEX(Sprint_Metrics!$F$7:$F$16,RANDBETWEEN(1,ROWS(Sprint_Metrics!$F$7:$F$16)))</f>
        <v>8</v>
      </c>
      <c r="G86" s="29" t="n">
        <f aca="false">INDEX(Sprint_Metrics!$F$7:$F$16,RANDBETWEEN(1,ROWS(Sprint_Metrics!$F$7:$F$16)))</f>
        <v>8</v>
      </c>
      <c r="H86" s="29" t="n">
        <f aca="false">INDEX(Sprint_Metrics!$F$7:$F$16,RANDBETWEEN(1,ROWS(Sprint_Metrics!$F$7:$F$16)))</f>
        <v>7</v>
      </c>
      <c r="I86" s="29" t="n">
        <f aca="false">INDEX(Sprint_Metrics!$F$7:$F$16,RANDBETWEEN(1,ROWS(Sprint_Metrics!$F$7:$F$16)))</f>
        <v>9</v>
      </c>
      <c r="J86" s="29" t="n">
        <f aca="false">B86</f>
        <v>7</v>
      </c>
      <c r="K86" s="29" t="n">
        <f aca="false">J86+C86</f>
        <v>18</v>
      </c>
      <c r="L86" s="29" t="n">
        <f aca="false">K86+D86</f>
        <v>29</v>
      </c>
      <c r="M86" s="29" t="n">
        <f aca="false">L86+E86</f>
        <v>36</v>
      </c>
      <c r="N86" s="29" t="n">
        <f aca="false">M86+F86</f>
        <v>44</v>
      </c>
      <c r="O86" s="29" t="n">
        <f aca="false">N86+G86</f>
        <v>52</v>
      </c>
      <c r="P86" s="29" t="n">
        <f aca="false">O86+H86</f>
        <v>59</v>
      </c>
      <c r="Q86" s="29" t="n">
        <f aca="false">P86+I86</f>
        <v>68</v>
      </c>
    </row>
    <row r="87" customFormat="false" ht="15" hidden="false" customHeight="false" outlineLevel="0" collapsed="false">
      <c r="A87" s="29" t="n">
        <v>86</v>
      </c>
      <c r="B87" s="29" t="n">
        <f aca="false">INDEX(Sprint_Metrics!$F$7:$F$16,RANDBETWEEN(1,ROWS(Sprint_Metrics!$F$7:$F$16)))</f>
        <v>9</v>
      </c>
      <c r="C87" s="29" t="n">
        <f aca="false">INDEX(Sprint_Metrics!$F$7:$F$16,RANDBETWEEN(1,ROWS(Sprint_Metrics!$F$7:$F$16)))</f>
        <v>9</v>
      </c>
      <c r="D87" s="29" t="n">
        <f aca="false">INDEX(Sprint_Metrics!$F$7:$F$16,RANDBETWEEN(1,ROWS(Sprint_Metrics!$F$7:$F$16)))</f>
        <v>7</v>
      </c>
      <c r="E87" s="29" t="n">
        <f aca="false">INDEX(Sprint_Metrics!$F$7:$F$16,RANDBETWEEN(1,ROWS(Sprint_Metrics!$F$7:$F$16)))</f>
        <v>8</v>
      </c>
      <c r="F87" s="29" t="n">
        <f aca="false">INDEX(Sprint_Metrics!$F$7:$F$16,RANDBETWEEN(1,ROWS(Sprint_Metrics!$F$7:$F$16)))</f>
        <v>11</v>
      </c>
      <c r="G87" s="29" t="n">
        <f aca="false">INDEX(Sprint_Metrics!$F$7:$F$16,RANDBETWEEN(1,ROWS(Sprint_Metrics!$F$7:$F$16)))</f>
        <v>9</v>
      </c>
      <c r="H87" s="29" t="n">
        <f aca="false">INDEX(Sprint_Metrics!$F$7:$F$16,RANDBETWEEN(1,ROWS(Sprint_Metrics!$F$7:$F$16)))</f>
        <v>7</v>
      </c>
      <c r="I87" s="29" t="n">
        <f aca="false">INDEX(Sprint_Metrics!$F$7:$F$16,RANDBETWEEN(1,ROWS(Sprint_Metrics!$F$7:$F$16)))</f>
        <v>7</v>
      </c>
      <c r="J87" s="29" t="n">
        <f aca="false">B87</f>
        <v>9</v>
      </c>
      <c r="K87" s="29" t="n">
        <f aca="false">J87+C87</f>
        <v>18</v>
      </c>
      <c r="L87" s="29" t="n">
        <f aca="false">K87+D87</f>
        <v>25</v>
      </c>
      <c r="M87" s="29" t="n">
        <f aca="false">L87+E87</f>
        <v>33</v>
      </c>
      <c r="N87" s="29" t="n">
        <f aca="false">M87+F87</f>
        <v>44</v>
      </c>
      <c r="O87" s="29" t="n">
        <f aca="false">N87+G87</f>
        <v>53</v>
      </c>
      <c r="P87" s="29" t="n">
        <f aca="false">O87+H87</f>
        <v>60</v>
      </c>
      <c r="Q87" s="29" t="n">
        <f aca="false">P87+I87</f>
        <v>67</v>
      </c>
    </row>
    <row r="88" customFormat="false" ht="15" hidden="false" customHeight="false" outlineLevel="0" collapsed="false">
      <c r="A88" s="29" t="n">
        <v>87</v>
      </c>
      <c r="B88" s="29" t="n">
        <f aca="false">INDEX(Sprint_Metrics!$F$7:$F$16,RANDBETWEEN(1,ROWS(Sprint_Metrics!$F$7:$F$16)))</f>
        <v>7</v>
      </c>
      <c r="C88" s="29" t="n">
        <f aca="false">INDEX(Sprint_Metrics!$F$7:$F$16,RANDBETWEEN(1,ROWS(Sprint_Metrics!$F$7:$F$16)))</f>
        <v>8</v>
      </c>
      <c r="D88" s="29" t="n">
        <f aca="false">INDEX(Sprint_Metrics!$F$7:$F$16,RANDBETWEEN(1,ROWS(Sprint_Metrics!$F$7:$F$16)))</f>
        <v>9</v>
      </c>
      <c r="E88" s="29" t="n">
        <f aca="false">INDEX(Sprint_Metrics!$F$7:$F$16,RANDBETWEEN(1,ROWS(Sprint_Metrics!$F$7:$F$16)))</f>
        <v>9</v>
      </c>
      <c r="F88" s="29" t="n">
        <f aca="false">INDEX(Sprint_Metrics!$F$7:$F$16,RANDBETWEEN(1,ROWS(Sprint_Metrics!$F$7:$F$16)))</f>
        <v>9</v>
      </c>
      <c r="G88" s="29" t="n">
        <f aca="false">INDEX(Sprint_Metrics!$F$7:$F$16,RANDBETWEEN(1,ROWS(Sprint_Metrics!$F$7:$F$16)))</f>
        <v>7</v>
      </c>
      <c r="H88" s="29" t="n">
        <f aca="false">INDEX(Sprint_Metrics!$F$7:$F$16,RANDBETWEEN(1,ROWS(Sprint_Metrics!$F$7:$F$16)))</f>
        <v>12</v>
      </c>
      <c r="I88" s="29" t="n">
        <f aca="false">INDEX(Sprint_Metrics!$F$7:$F$16,RANDBETWEEN(1,ROWS(Sprint_Metrics!$F$7:$F$16)))</f>
        <v>8</v>
      </c>
      <c r="J88" s="29" t="n">
        <f aca="false">B88</f>
        <v>7</v>
      </c>
      <c r="K88" s="29" t="n">
        <f aca="false">J88+C88</f>
        <v>15</v>
      </c>
      <c r="L88" s="29" t="n">
        <f aca="false">K88+D88</f>
        <v>24</v>
      </c>
      <c r="M88" s="29" t="n">
        <f aca="false">L88+E88</f>
        <v>33</v>
      </c>
      <c r="N88" s="29" t="n">
        <f aca="false">M88+F88</f>
        <v>42</v>
      </c>
      <c r="O88" s="29" t="n">
        <f aca="false">N88+G88</f>
        <v>49</v>
      </c>
      <c r="P88" s="29" t="n">
        <f aca="false">O88+H88</f>
        <v>61</v>
      </c>
      <c r="Q88" s="29" t="n">
        <f aca="false">P88+I88</f>
        <v>69</v>
      </c>
    </row>
    <row r="89" customFormat="false" ht="15" hidden="false" customHeight="false" outlineLevel="0" collapsed="false">
      <c r="A89" s="29" t="n">
        <v>88</v>
      </c>
      <c r="B89" s="29" t="n">
        <f aca="false">INDEX(Sprint_Metrics!$F$7:$F$16,RANDBETWEEN(1,ROWS(Sprint_Metrics!$F$7:$F$16)))</f>
        <v>7</v>
      </c>
      <c r="C89" s="29" t="n">
        <f aca="false">INDEX(Sprint_Metrics!$F$7:$F$16,RANDBETWEEN(1,ROWS(Sprint_Metrics!$F$7:$F$16)))</f>
        <v>9</v>
      </c>
      <c r="D89" s="29" t="n">
        <f aca="false">INDEX(Sprint_Metrics!$F$7:$F$16,RANDBETWEEN(1,ROWS(Sprint_Metrics!$F$7:$F$16)))</f>
        <v>8</v>
      </c>
      <c r="E89" s="29" t="n">
        <f aca="false">INDEX(Sprint_Metrics!$F$7:$F$16,RANDBETWEEN(1,ROWS(Sprint_Metrics!$F$7:$F$16)))</f>
        <v>8</v>
      </c>
      <c r="F89" s="29" t="n">
        <f aca="false">INDEX(Sprint_Metrics!$F$7:$F$16,RANDBETWEEN(1,ROWS(Sprint_Metrics!$F$7:$F$16)))</f>
        <v>9</v>
      </c>
      <c r="G89" s="29" t="n">
        <f aca="false">INDEX(Sprint_Metrics!$F$7:$F$16,RANDBETWEEN(1,ROWS(Sprint_Metrics!$F$7:$F$16)))</f>
        <v>8</v>
      </c>
      <c r="H89" s="29" t="n">
        <f aca="false">INDEX(Sprint_Metrics!$F$7:$F$16,RANDBETWEEN(1,ROWS(Sprint_Metrics!$F$7:$F$16)))</f>
        <v>8</v>
      </c>
      <c r="I89" s="29" t="n">
        <f aca="false">INDEX(Sprint_Metrics!$F$7:$F$16,RANDBETWEEN(1,ROWS(Sprint_Metrics!$F$7:$F$16)))</f>
        <v>7</v>
      </c>
      <c r="J89" s="29" t="n">
        <f aca="false">B89</f>
        <v>7</v>
      </c>
      <c r="K89" s="29" t="n">
        <f aca="false">J89+C89</f>
        <v>16</v>
      </c>
      <c r="L89" s="29" t="n">
        <f aca="false">K89+D89</f>
        <v>24</v>
      </c>
      <c r="M89" s="29" t="n">
        <f aca="false">L89+E89</f>
        <v>32</v>
      </c>
      <c r="N89" s="29" t="n">
        <f aca="false">M89+F89</f>
        <v>41</v>
      </c>
      <c r="O89" s="29" t="n">
        <f aca="false">N89+G89</f>
        <v>49</v>
      </c>
      <c r="P89" s="29" t="n">
        <f aca="false">O89+H89</f>
        <v>57</v>
      </c>
      <c r="Q89" s="29" t="n">
        <f aca="false">P89+I89</f>
        <v>64</v>
      </c>
    </row>
    <row r="90" customFormat="false" ht="15" hidden="false" customHeight="false" outlineLevel="0" collapsed="false">
      <c r="A90" s="29" t="n">
        <v>89</v>
      </c>
      <c r="B90" s="29" t="n">
        <f aca="false">INDEX(Sprint_Metrics!$F$7:$F$16,RANDBETWEEN(1,ROWS(Sprint_Metrics!$F$7:$F$16)))</f>
        <v>9</v>
      </c>
      <c r="C90" s="29" t="n">
        <f aca="false">INDEX(Sprint_Metrics!$F$7:$F$16,RANDBETWEEN(1,ROWS(Sprint_Metrics!$F$7:$F$16)))</f>
        <v>11</v>
      </c>
      <c r="D90" s="29" t="n">
        <f aca="false">INDEX(Sprint_Metrics!$F$7:$F$16,RANDBETWEEN(1,ROWS(Sprint_Metrics!$F$7:$F$16)))</f>
        <v>8</v>
      </c>
      <c r="E90" s="29" t="n">
        <f aca="false">INDEX(Sprint_Metrics!$F$7:$F$16,RANDBETWEEN(1,ROWS(Sprint_Metrics!$F$7:$F$16)))</f>
        <v>8</v>
      </c>
      <c r="F90" s="29" t="n">
        <f aca="false">INDEX(Sprint_Metrics!$F$7:$F$16,RANDBETWEEN(1,ROWS(Sprint_Metrics!$F$7:$F$16)))</f>
        <v>9</v>
      </c>
      <c r="G90" s="29" t="n">
        <f aca="false">INDEX(Sprint_Metrics!$F$7:$F$16,RANDBETWEEN(1,ROWS(Sprint_Metrics!$F$7:$F$16)))</f>
        <v>8</v>
      </c>
      <c r="H90" s="29" t="n">
        <f aca="false">INDEX(Sprint_Metrics!$F$7:$F$16,RANDBETWEEN(1,ROWS(Sprint_Metrics!$F$7:$F$16)))</f>
        <v>8</v>
      </c>
      <c r="I90" s="29" t="n">
        <f aca="false">INDEX(Sprint_Metrics!$F$7:$F$16,RANDBETWEEN(1,ROWS(Sprint_Metrics!$F$7:$F$16)))</f>
        <v>12</v>
      </c>
      <c r="J90" s="29" t="n">
        <f aca="false">B90</f>
        <v>9</v>
      </c>
      <c r="K90" s="29" t="n">
        <f aca="false">J90+C90</f>
        <v>20</v>
      </c>
      <c r="L90" s="29" t="n">
        <f aca="false">K90+D90</f>
        <v>28</v>
      </c>
      <c r="M90" s="29" t="n">
        <f aca="false">L90+E90</f>
        <v>36</v>
      </c>
      <c r="N90" s="29" t="n">
        <f aca="false">M90+F90</f>
        <v>45</v>
      </c>
      <c r="O90" s="29" t="n">
        <f aca="false">N90+G90</f>
        <v>53</v>
      </c>
      <c r="P90" s="29" t="n">
        <f aca="false">O90+H90</f>
        <v>61</v>
      </c>
      <c r="Q90" s="29" t="n">
        <f aca="false">P90+I90</f>
        <v>73</v>
      </c>
    </row>
    <row r="91" customFormat="false" ht="15" hidden="false" customHeight="false" outlineLevel="0" collapsed="false">
      <c r="A91" s="29" t="n">
        <v>90</v>
      </c>
      <c r="B91" s="29" t="n">
        <f aca="false">INDEX(Sprint_Metrics!$F$7:$F$16,RANDBETWEEN(1,ROWS(Sprint_Metrics!$F$7:$F$16)))</f>
        <v>9</v>
      </c>
      <c r="C91" s="29" t="n">
        <f aca="false">INDEX(Sprint_Metrics!$F$7:$F$16,RANDBETWEEN(1,ROWS(Sprint_Metrics!$F$7:$F$16)))</f>
        <v>8</v>
      </c>
      <c r="D91" s="29" t="n">
        <f aca="false">INDEX(Sprint_Metrics!$F$7:$F$16,RANDBETWEEN(1,ROWS(Sprint_Metrics!$F$7:$F$16)))</f>
        <v>7</v>
      </c>
      <c r="E91" s="29" t="n">
        <f aca="false">INDEX(Sprint_Metrics!$F$7:$F$16,RANDBETWEEN(1,ROWS(Sprint_Metrics!$F$7:$F$16)))</f>
        <v>8</v>
      </c>
      <c r="F91" s="29" t="n">
        <f aca="false">INDEX(Sprint_Metrics!$F$7:$F$16,RANDBETWEEN(1,ROWS(Sprint_Metrics!$F$7:$F$16)))</f>
        <v>11</v>
      </c>
      <c r="G91" s="29" t="n">
        <f aca="false">INDEX(Sprint_Metrics!$F$7:$F$16,RANDBETWEEN(1,ROWS(Sprint_Metrics!$F$7:$F$16)))</f>
        <v>8</v>
      </c>
      <c r="H91" s="29" t="n">
        <f aca="false">INDEX(Sprint_Metrics!$F$7:$F$16,RANDBETWEEN(1,ROWS(Sprint_Metrics!$F$7:$F$16)))</f>
        <v>12</v>
      </c>
      <c r="I91" s="29" t="n">
        <f aca="false">INDEX(Sprint_Metrics!$F$7:$F$16,RANDBETWEEN(1,ROWS(Sprint_Metrics!$F$7:$F$16)))</f>
        <v>12</v>
      </c>
      <c r="J91" s="29" t="n">
        <f aca="false">B91</f>
        <v>9</v>
      </c>
      <c r="K91" s="29" t="n">
        <f aca="false">J91+C91</f>
        <v>17</v>
      </c>
      <c r="L91" s="29" t="n">
        <f aca="false">K91+D91</f>
        <v>24</v>
      </c>
      <c r="M91" s="29" t="n">
        <f aca="false">L91+E91</f>
        <v>32</v>
      </c>
      <c r="N91" s="29" t="n">
        <f aca="false">M91+F91</f>
        <v>43</v>
      </c>
      <c r="O91" s="29" t="n">
        <f aca="false">N91+G91</f>
        <v>51</v>
      </c>
      <c r="P91" s="29" t="n">
        <f aca="false">O91+H91</f>
        <v>63</v>
      </c>
      <c r="Q91" s="29" t="n">
        <f aca="false">P91+I91</f>
        <v>75</v>
      </c>
    </row>
    <row r="92" customFormat="false" ht="15" hidden="false" customHeight="false" outlineLevel="0" collapsed="false">
      <c r="A92" s="29" t="n">
        <v>91</v>
      </c>
      <c r="B92" s="29" t="n">
        <f aca="false">INDEX(Sprint_Metrics!$F$7:$F$16,RANDBETWEEN(1,ROWS(Sprint_Metrics!$F$7:$F$16)))</f>
        <v>8</v>
      </c>
      <c r="C92" s="29" t="n">
        <f aca="false">INDEX(Sprint_Metrics!$F$7:$F$16,RANDBETWEEN(1,ROWS(Sprint_Metrics!$F$7:$F$16)))</f>
        <v>8</v>
      </c>
      <c r="D92" s="29" t="n">
        <f aca="false">INDEX(Sprint_Metrics!$F$7:$F$16,RANDBETWEEN(1,ROWS(Sprint_Metrics!$F$7:$F$16)))</f>
        <v>12</v>
      </c>
      <c r="E92" s="29" t="n">
        <f aca="false">INDEX(Sprint_Metrics!$F$7:$F$16,RANDBETWEEN(1,ROWS(Sprint_Metrics!$F$7:$F$16)))</f>
        <v>8</v>
      </c>
      <c r="F92" s="29" t="n">
        <f aca="false">INDEX(Sprint_Metrics!$F$7:$F$16,RANDBETWEEN(1,ROWS(Sprint_Metrics!$F$7:$F$16)))</f>
        <v>9</v>
      </c>
      <c r="G92" s="29" t="n">
        <f aca="false">INDEX(Sprint_Metrics!$F$7:$F$16,RANDBETWEEN(1,ROWS(Sprint_Metrics!$F$7:$F$16)))</f>
        <v>8</v>
      </c>
      <c r="H92" s="29" t="n">
        <f aca="false">INDEX(Sprint_Metrics!$F$7:$F$16,RANDBETWEEN(1,ROWS(Sprint_Metrics!$F$7:$F$16)))</f>
        <v>7</v>
      </c>
      <c r="I92" s="29" t="n">
        <f aca="false">INDEX(Sprint_Metrics!$F$7:$F$16,RANDBETWEEN(1,ROWS(Sprint_Metrics!$F$7:$F$16)))</f>
        <v>9</v>
      </c>
      <c r="J92" s="29" t="n">
        <f aca="false">B92</f>
        <v>8</v>
      </c>
      <c r="K92" s="29" t="n">
        <f aca="false">J92+C92</f>
        <v>16</v>
      </c>
      <c r="L92" s="29" t="n">
        <f aca="false">K92+D92</f>
        <v>28</v>
      </c>
      <c r="M92" s="29" t="n">
        <f aca="false">L92+E92</f>
        <v>36</v>
      </c>
      <c r="N92" s="29" t="n">
        <f aca="false">M92+F92</f>
        <v>45</v>
      </c>
      <c r="O92" s="29" t="n">
        <f aca="false">N92+G92</f>
        <v>53</v>
      </c>
      <c r="P92" s="29" t="n">
        <f aca="false">O92+H92</f>
        <v>60</v>
      </c>
      <c r="Q92" s="29" t="n">
        <f aca="false">P92+I92</f>
        <v>69</v>
      </c>
    </row>
    <row r="93" customFormat="false" ht="15" hidden="false" customHeight="false" outlineLevel="0" collapsed="false">
      <c r="A93" s="29" t="n">
        <v>92</v>
      </c>
      <c r="B93" s="29" t="n">
        <f aca="false">INDEX(Sprint_Metrics!$F$7:$F$16,RANDBETWEEN(1,ROWS(Sprint_Metrics!$F$7:$F$16)))</f>
        <v>8</v>
      </c>
      <c r="C93" s="29" t="n">
        <f aca="false">INDEX(Sprint_Metrics!$F$7:$F$16,RANDBETWEEN(1,ROWS(Sprint_Metrics!$F$7:$F$16)))</f>
        <v>11</v>
      </c>
      <c r="D93" s="29" t="n">
        <f aca="false">INDEX(Sprint_Metrics!$F$7:$F$16,RANDBETWEEN(1,ROWS(Sprint_Metrics!$F$7:$F$16)))</f>
        <v>11</v>
      </c>
      <c r="E93" s="29" t="n">
        <f aca="false">INDEX(Sprint_Metrics!$F$7:$F$16,RANDBETWEEN(1,ROWS(Sprint_Metrics!$F$7:$F$16)))</f>
        <v>7</v>
      </c>
      <c r="F93" s="29" t="n">
        <f aca="false">INDEX(Sprint_Metrics!$F$7:$F$16,RANDBETWEEN(1,ROWS(Sprint_Metrics!$F$7:$F$16)))</f>
        <v>8</v>
      </c>
      <c r="G93" s="29" t="n">
        <f aca="false">INDEX(Sprint_Metrics!$F$7:$F$16,RANDBETWEEN(1,ROWS(Sprint_Metrics!$F$7:$F$16)))</f>
        <v>9</v>
      </c>
      <c r="H93" s="29" t="n">
        <f aca="false">INDEX(Sprint_Metrics!$F$7:$F$16,RANDBETWEEN(1,ROWS(Sprint_Metrics!$F$7:$F$16)))</f>
        <v>7</v>
      </c>
      <c r="I93" s="29" t="n">
        <f aca="false">INDEX(Sprint_Metrics!$F$7:$F$16,RANDBETWEEN(1,ROWS(Sprint_Metrics!$F$7:$F$16)))</f>
        <v>11</v>
      </c>
      <c r="J93" s="29" t="n">
        <f aca="false">B93</f>
        <v>8</v>
      </c>
      <c r="K93" s="29" t="n">
        <f aca="false">J93+C93</f>
        <v>19</v>
      </c>
      <c r="L93" s="29" t="n">
        <f aca="false">K93+D93</f>
        <v>30</v>
      </c>
      <c r="M93" s="29" t="n">
        <f aca="false">L93+E93</f>
        <v>37</v>
      </c>
      <c r="N93" s="29" t="n">
        <f aca="false">M93+F93</f>
        <v>45</v>
      </c>
      <c r="O93" s="29" t="n">
        <f aca="false">N93+G93</f>
        <v>54</v>
      </c>
      <c r="P93" s="29" t="n">
        <f aca="false">O93+H93</f>
        <v>61</v>
      </c>
      <c r="Q93" s="29" t="n">
        <f aca="false">P93+I93</f>
        <v>72</v>
      </c>
    </row>
    <row r="94" customFormat="false" ht="15" hidden="false" customHeight="false" outlineLevel="0" collapsed="false">
      <c r="A94" s="29" t="n">
        <v>93</v>
      </c>
      <c r="B94" s="29" t="n">
        <f aca="false">INDEX(Sprint_Metrics!$F$7:$F$16,RANDBETWEEN(1,ROWS(Sprint_Metrics!$F$7:$F$16)))</f>
        <v>7</v>
      </c>
      <c r="C94" s="29" t="n">
        <f aca="false">INDEX(Sprint_Metrics!$F$7:$F$16,RANDBETWEEN(1,ROWS(Sprint_Metrics!$F$7:$F$16)))</f>
        <v>12</v>
      </c>
      <c r="D94" s="29" t="n">
        <f aca="false">INDEX(Sprint_Metrics!$F$7:$F$16,RANDBETWEEN(1,ROWS(Sprint_Metrics!$F$7:$F$16)))</f>
        <v>8</v>
      </c>
      <c r="E94" s="29" t="n">
        <f aca="false">INDEX(Sprint_Metrics!$F$7:$F$16,RANDBETWEEN(1,ROWS(Sprint_Metrics!$F$7:$F$16)))</f>
        <v>7</v>
      </c>
      <c r="F94" s="29" t="n">
        <f aca="false">INDEX(Sprint_Metrics!$F$7:$F$16,RANDBETWEEN(1,ROWS(Sprint_Metrics!$F$7:$F$16)))</f>
        <v>11</v>
      </c>
      <c r="G94" s="29" t="n">
        <f aca="false">INDEX(Sprint_Metrics!$F$7:$F$16,RANDBETWEEN(1,ROWS(Sprint_Metrics!$F$7:$F$16)))</f>
        <v>7</v>
      </c>
      <c r="H94" s="29" t="n">
        <f aca="false">INDEX(Sprint_Metrics!$F$7:$F$16,RANDBETWEEN(1,ROWS(Sprint_Metrics!$F$7:$F$16)))</f>
        <v>7</v>
      </c>
      <c r="I94" s="29" t="n">
        <f aca="false">INDEX(Sprint_Metrics!$F$7:$F$16,RANDBETWEEN(1,ROWS(Sprint_Metrics!$F$7:$F$16)))</f>
        <v>7</v>
      </c>
      <c r="J94" s="29" t="n">
        <f aca="false">B94</f>
        <v>7</v>
      </c>
      <c r="K94" s="29" t="n">
        <f aca="false">J94+C94</f>
        <v>19</v>
      </c>
      <c r="L94" s="29" t="n">
        <f aca="false">K94+D94</f>
        <v>27</v>
      </c>
      <c r="M94" s="29" t="n">
        <f aca="false">L94+E94</f>
        <v>34</v>
      </c>
      <c r="N94" s="29" t="n">
        <f aca="false">M94+F94</f>
        <v>45</v>
      </c>
      <c r="O94" s="29" t="n">
        <f aca="false">N94+G94</f>
        <v>52</v>
      </c>
      <c r="P94" s="29" t="n">
        <f aca="false">O94+H94</f>
        <v>59</v>
      </c>
      <c r="Q94" s="29" t="n">
        <f aca="false">P94+I94</f>
        <v>66</v>
      </c>
    </row>
    <row r="95" customFormat="false" ht="15" hidden="false" customHeight="false" outlineLevel="0" collapsed="false">
      <c r="A95" s="29" t="n">
        <v>94</v>
      </c>
      <c r="B95" s="29" t="n">
        <f aca="false">INDEX(Sprint_Metrics!$F$7:$F$16,RANDBETWEEN(1,ROWS(Sprint_Metrics!$F$7:$F$16)))</f>
        <v>11</v>
      </c>
      <c r="C95" s="29" t="n">
        <f aca="false">INDEX(Sprint_Metrics!$F$7:$F$16,RANDBETWEEN(1,ROWS(Sprint_Metrics!$F$7:$F$16)))</f>
        <v>7</v>
      </c>
      <c r="D95" s="29" t="n">
        <f aca="false">INDEX(Sprint_Metrics!$F$7:$F$16,RANDBETWEEN(1,ROWS(Sprint_Metrics!$F$7:$F$16)))</f>
        <v>8</v>
      </c>
      <c r="E95" s="29" t="n">
        <f aca="false">INDEX(Sprint_Metrics!$F$7:$F$16,RANDBETWEEN(1,ROWS(Sprint_Metrics!$F$7:$F$16)))</f>
        <v>12</v>
      </c>
      <c r="F95" s="29" t="n">
        <f aca="false">INDEX(Sprint_Metrics!$F$7:$F$16,RANDBETWEEN(1,ROWS(Sprint_Metrics!$F$7:$F$16)))</f>
        <v>7</v>
      </c>
      <c r="G95" s="29" t="n">
        <f aca="false">INDEX(Sprint_Metrics!$F$7:$F$16,RANDBETWEEN(1,ROWS(Sprint_Metrics!$F$7:$F$16)))</f>
        <v>9</v>
      </c>
      <c r="H95" s="29" t="n">
        <f aca="false">INDEX(Sprint_Metrics!$F$7:$F$16,RANDBETWEEN(1,ROWS(Sprint_Metrics!$F$7:$F$16)))</f>
        <v>11</v>
      </c>
      <c r="I95" s="29" t="n">
        <f aca="false">INDEX(Sprint_Metrics!$F$7:$F$16,RANDBETWEEN(1,ROWS(Sprint_Metrics!$F$7:$F$16)))</f>
        <v>7</v>
      </c>
      <c r="J95" s="29" t="n">
        <f aca="false">B95</f>
        <v>11</v>
      </c>
      <c r="K95" s="29" t="n">
        <f aca="false">J95+C95</f>
        <v>18</v>
      </c>
      <c r="L95" s="29" t="n">
        <f aca="false">K95+D95</f>
        <v>26</v>
      </c>
      <c r="M95" s="29" t="n">
        <f aca="false">L95+E95</f>
        <v>38</v>
      </c>
      <c r="N95" s="29" t="n">
        <f aca="false">M95+F95</f>
        <v>45</v>
      </c>
      <c r="O95" s="29" t="n">
        <f aca="false">N95+G95</f>
        <v>54</v>
      </c>
      <c r="P95" s="29" t="n">
        <f aca="false">O95+H95</f>
        <v>65</v>
      </c>
      <c r="Q95" s="29" t="n">
        <f aca="false">P95+I95</f>
        <v>72</v>
      </c>
    </row>
    <row r="96" customFormat="false" ht="15" hidden="false" customHeight="false" outlineLevel="0" collapsed="false">
      <c r="A96" s="29" t="n">
        <v>95</v>
      </c>
      <c r="B96" s="29" t="n">
        <f aca="false">INDEX(Sprint_Metrics!$F$7:$F$16,RANDBETWEEN(1,ROWS(Sprint_Metrics!$F$7:$F$16)))</f>
        <v>11</v>
      </c>
      <c r="C96" s="29" t="n">
        <f aca="false">INDEX(Sprint_Metrics!$F$7:$F$16,RANDBETWEEN(1,ROWS(Sprint_Metrics!$F$7:$F$16)))</f>
        <v>9</v>
      </c>
      <c r="D96" s="29" t="n">
        <f aca="false">INDEX(Sprint_Metrics!$F$7:$F$16,RANDBETWEEN(1,ROWS(Sprint_Metrics!$F$7:$F$16)))</f>
        <v>8</v>
      </c>
      <c r="E96" s="29" t="n">
        <f aca="false">INDEX(Sprint_Metrics!$F$7:$F$16,RANDBETWEEN(1,ROWS(Sprint_Metrics!$F$7:$F$16)))</f>
        <v>8</v>
      </c>
      <c r="F96" s="29" t="n">
        <f aca="false">INDEX(Sprint_Metrics!$F$7:$F$16,RANDBETWEEN(1,ROWS(Sprint_Metrics!$F$7:$F$16)))</f>
        <v>8</v>
      </c>
      <c r="G96" s="29" t="n">
        <f aca="false">INDEX(Sprint_Metrics!$F$7:$F$16,RANDBETWEEN(1,ROWS(Sprint_Metrics!$F$7:$F$16)))</f>
        <v>9</v>
      </c>
      <c r="H96" s="29" t="n">
        <f aca="false">INDEX(Sprint_Metrics!$F$7:$F$16,RANDBETWEEN(1,ROWS(Sprint_Metrics!$F$7:$F$16)))</f>
        <v>9</v>
      </c>
      <c r="I96" s="29" t="n">
        <f aca="false">INDEX(Sprint_Metrics!$F$7:$F$16,RANDBETWEEN(1,ROWS(Sprint_Metrics!$F$7:$F$16)))</f>
        <v>9</v>
      </c>
      <c r="J96" s="29" t="n">
        <f aca="false">B96</f>
        <v>11</v>
      </c>
      <c r="K96" s="29" t="n">
        <f aca="false">J96+C96</f>
        <v>20</v>
      </c>
      <c r="L96" s="29" t="n">
        <f aca="false">K96+D96</f>
        <v>28</v>
      </c>
      <c r="M96" s="29" t="n">
        <f aca="false">L96+E96</f>
        <v>36</v>
      </c>
      <c r="N96" s="29" t="n">
        <f aca="false">M96+F96</f>
        <v>44</v>
      </c>
      <c r="O96" s="29" t="n">
        <f aca="false">N96+G96</f>
        <v>53</v>
      </c>
      <c r="P96" s="29" t="n">
        <f aca="false">O96+H96</f>
        <v>62</v>
      </c>
      <c r="Q96" s="29" t="n">
        <f aca="false">P96+I96</f>
        <v>71</v>
      </c>
    </row>
    <row r="97" customFormat="false" ht="15" hidden="false" customHeight="false" outlineLevel="0" collapsed="false">
      <c r="A97" s="29" t="n">
        <v>96</v>
      </c>
      <c r="B97" s="29" t="n">
        <f aca="false">INDEX(Sprint_Metrics!$F$7:$F$16,RANDBETWEEN(1,ROWS(Sprint_Metrics!$F$7:$F$16)))</f>
        <v>8</v>
      </c>
      <c r="C97" s="29" t="n">
        <f aca="false">INDEX(Sprint_Metrics!$F$7:$F$16,RANDBETWEEN(1,ROWS(Sprint_Metrics!$F$7:$F$16)))</f>
        <v>8</v>
      </c>
      <c r="D97" s="29" t="n">
        <f aca="false">INDEX(Sprint_Metrics!$F$7:$F$16,RANDBETWEEN(1,ROWS(Sprint_Metrics!$F$7:$F$16)))</f>
        <v>12</v>
      </c>
      <c r="E97" s="29" t="n">
        <f aca="false">INDEX(Sprint_Metrics!$F$7:$F$16,RANDBETWEEN(1,ROWS(Sprint_Metrics!$F$7:$F$16)))</f>
        <v>11</v>
      </c>
      <c r="F97" s="29" t="n">
        <f aca="false">INDEX(Sprint_Metrics!$F$7:$F$16,RANDBETWEEN(1,ROWS(Sprint_Metrics!$F$7:$F$16)))</f>
        <v>11</v>
      </c>
      <c r="G97" s="29" t="n">
        <f aca="false">INDEX(Sprint_Metrics!$F$7:$F$16,RANDBETWEEN(1,ROWS(Sprint_Metrics!$F$7:$F$16)))</f>
        <v>7</v>
      </c>
      <c r="H97" s="29" t="n">
        <f aca="false">INDEX(Sprint_Metrics!$F$7:$F$16,RANDBETWEEN(1,ROWS(Sprint_Metrics!$F$7:$F$16)))</f>
        <v>8</v>
      </c>
      <c r="I97" s="29" t="n">
        <f aca="false">INDEX(Sprint_Metrics!$F$7:$F$16,RANDBETWEEN(1,ROWS(Sprint_Metrics!$F$7:$F$16)))</f>
        <v>12</v>
      </c>
      <c r="J97" s="29" t="n">
        <f aca="false">B97</f>
        <v>8</v>
      </c>
      <c r="K97" s="29" t="n">
        <f aca="false">J97+C97</f>
        <v>16</v>
      </c>
      <c r="L97" s="29" t="n">
        <f aca="false">K97+D97</f>
        <v>28</v>
      </c>
      <c r="M97" s="29" t="n">
        <f aca="false">L97+E97</f>
        <v>39</v>
      </c>
      <c r="N97" s="29" t="n">
        <f aca="false">M97+F97</f>
        <v>50</v>
      </c>
      <c r="O97" s="29" t="n">
        <f aca="false">N97+G97</f>
        <v>57</v>
      </c>
      <c r="P97" s="29" t="n">
        <f aca="false">O97+H97</f>
        <v>65</v>
      </c>
      <c r="Q97" s="29" t="n">
        <f aca="false">P97+I97</f>
        <v>77</v>
      </c>
    </row>
    <row r="98" customFormat="false" ht="15" hidden="false" customHeight="false" outlineLevel="0" collapsed="false">
      <c r="A98" s="29" t="n">
        <v>97</v>
      </c>
      <c r="B98" s="29" t="n">
        <f aca="false">INDEX(Sprint_Metrics!$F$7:$F$16,RANDBETWEEN(1,ROWS(Sprint_Metrics!$F$7:$F$16)))</f>
        <v>9</v>
      </c>
      <c r="C98" s="29" t="n">
        <f aca="false">INDEX(Sprint_Metrics!$F$7:$F$16,RANDBETWEEN(1,ROWS(Sprint_Metrics!$F$7:$F$16)))</f>
        <v>12</v>
      </c>
      <c r="D98" s="29" t="n">
        <f aca="false">INDEX(Sprint_Metrics!$F$7:$F$16,RANDBETWEEN(1,ROWS(Sprint_Metrics!$F$7:$F$16)))</f>
        <v>9</v>
      </c>
      <c r="E98" s="29" t="n">
        <f aca="false">INDEX(Sprint_Metrics!$F$7:$F$16,RANDBETWEEN(1,ROWS(Sprint_Metrics!$F$7:$F$16)))</f>
        <v>12</v>
      </c>
      <c r="F98" s="29" t="n">
        <f aca="false">INDEX(Sprint_Metrics!$F$7:$F$16,RANDBETWEEN(1,ROWS(Sprint_Metrics!$F$7:$F$16)))</f>
        <v>11</v>
      </c>
      <c r="G98" s="29" t="n">
        <f aca="false">INDEX(Sprint_Metrics!$F$7:$F$16,RANDBETWEEN(1,ROWS(Sprint_Metrics!$F$7:$F$16)))</f>
        <v>11</v>
      </c>
      <c r="H98" s="29" t="n">
        <f aca="false">INDEX(Sprint_Metrics!$F$7:$F$16,RANDBETWEEN(1,ROWS(Sprint_Metrics!$F$7:$F$16)))</f>
        <v>8</v>
      </c>
      <c r="I98" s="29" t="n">
        <f aca="false">INDEX(Sprint_Metrics!$F$7:$F$16,RANDBETWEEN(1,ROWS(Sprint_Metrics!$F$7:$F$16)))</f>
        <v>7</v>
      </c>
      <c r="J98" s="29" t="n">
        <f aca="false">B98</f>
        <v>9</v>
      </c>
      <c r="K98" s="29" t="n">
        <f aca="false">J98+C98</f>
        <v>21</v>
      </c>
      <c r="L98" s="29" t="n">
        <f aca="false">K98+D98</f>
        <v>30</v>
      </c>
      <c r="M98" s="29" t="n">
        <f aca="false">L98+E98</f>
        <v>42</v>
      </c>
      <c r="N98" s="29" t="n">
        <f aca="false">M98+F98</f>
        <v>53</v>
      </c>
      <c r="O98" s="29" t="n">
        <f aca="false">N98+G98</f>
        <v>64</v>
      </c>
      <c r="P98" s="29" t="n">
        <f aca="false">O98+H98</f>
        <v>72</v>
      </c>
      <c r="Q98" s="29" t="n">
        <f aca="false">P98+I98</f>
        <v>79</v>
      </c>
    </row>
    <row r="99" customFormat="false" ht="15" hidden="false" customHeight="false" outlineLevel="0" collapsed="false">
      <c r="A99" s="29" t="n">
        <v>98</v>
      </c>
      <c r="B99" s="29" t="n">
        <f aca="false">INDEX(Sprint_Metrics!$F$7:$F$16,RANDBETWEEN(1,ROWS(Sprint_Metrics!$F$7:$F$16)))</f>
        <v>11</v>
      </c>
      <c r="C99" s="29" t="n">
        <f aca="false">INDEX(Sprint_Metrics!$F$7:$F$16,RANDBETWEEN(1,ROWS(Sprint_Metrics!$F$7:$F$16)))</f>
        <v>11</v>
      </c>
      <c r="D99" s="29" t="n">
        <f aca="false">INDEX(Sprint_Metrics!$F$7:$F$16,RANDBETWEEN(1,ROWS(Sprint_Metrics!$F$7:$F$16)))</f>
        <v>9</v>
      </c>
      <c r="E99" s="29" t="n">
        <f aca="false">INDEX(Sprint_Metrics!$F$7:$F$16,RANDBETWEEN(1,ROWS(Sprint_Metrics!$F$7:$F$16)))</f>
        <v>8</v>
      </c>
      <c r="F99" s="29" t="n">
        <f aca="false">INDEX(Sprint_Metrics!$F$7:$F$16,RANDBETWEEN(1,ROWS(Sprint_Metrics!$F$7:$F$16)))</f>
        <v>7</v>
      </c>
      <c r="G99" s="29" t="n">
        <f aca="false">INDEX(Sprint_Metrics!$F$7:$F$16,RANDBETWEEN(1,ROWS(Sprint_Metrics!$F$7:$F$16)))</f>
        <v>9</v>
      </c>
      <c r="H99" s="29" t="n">
        <f aca="false">INDEX(Sprint_Metrics!$F$7:$F$16,RANDBETWEEN(1,ROWS(Sprint_Metrics!$F$7:$F$16)))</f>
        <v>8</v>
      </c>
      <c r="I99" s="29" t="n">
        <f aca="false">INDEX(Sprint_Metrics!$F$7:$F$16,RANDBETWEEN(1,ROWS(Sprint_Metrics!$F$7:$F$16)))</f>
        <v>8</v>
      </c>
      <c r="J99" s="29" t="n">
        <f aca="false">B99</f>
        <v>11</v>
      </c>
      <c r="K99" s="29" t="n">
        <f aca="false">J99+C99</f>
        <v>22</v>
      </c>
      <c r="L99" s="29" t="n">
        <f aca="false">K99+D99</f>
        <v>31</v>
      </c>
      <c r="M99" s="29" t="n">
        <f aca="false">L99+E99</f>
        <v>39</v>
      </c>
      <c r="N99" s="29" t="n">
        <f aca="false">M99+F99</f>
        <v>46</v>
      </c>
      <c r="O99" s="29" t="n">
        <f aca="false">N99+G99</f>
        <v>55</v>
      </c>
      <c r="P99" s="29" t="n">
        <f aca="false">O99+H99</f>
        <v>63</v>
      </c>
      <c r="Q99" s="29" t="n">
        <f aca="false">P99+I99</f>
        <v>71</v>
      </c>
    </row>
    <row r="100" customFormat="false" ht="15" hidden="false" customHeight="false" outlineLevel="0" collapsed="false">
      <c r="A100" s="29" t="n">
        <v>99</v>
      </c>
      <c r="B100" s="29" t="n">
        <f aca="false">INDEX(Sprint_Metrics!$F$7:$F$16,RANDBETWEEN(1,ROWS(Sprint_Metrics!$F$7:$F$16)))</f>
        <v>8</v>
      </c>
      <c r="C100" s="29" t="n">
        <f aca="false">INDEX(Sprint_Metrics!$F$7:$F$16,RANDBETWEEN(1,ROWS(Sprint_Metrics!$F$7:$F$16)))</f>
        <v>8</v>
      </c>
      <c r="D100" s="29" t="n">
        <f aca="false">INDEX(Sprint_Metrics!$F$7:$F$16,RANDBETWEEN(1,ROWS(Sprint_Metrics!$F$7:$F$16)))</f>
        <v>7</v>
      </c>
      <c r="E100" s="29" t="n">
        <f aca="false">INDEX(Sprint_Metrics!$F$7:$F$16,RANDBETWEEN(1,ROWS(Sprint_Metrics!$F$7:$F$16)))</f>
        <v>8</v>
      </c>
      <c r="F100" s="29" t="n">
        <f aca="false">INDEX(Sprint_Metrics!$F$7:$F$16,RANDBETWEEN(1,ROWS(Sprint_Metrics!$F$7:$F$16)))</f>
        <v>8</v>
      </c>
      <c r="G100" s="29" t="n">
        <f aca="false">INDEX(Sprint_Metrics!$F$7:$F$16,RANDBETWEEN(1,ROWS(Sprint_Metrics!$F$7:$F$16)))</f>
        <v>9</v>
      </c>
      <c r="H100" s="29" t="n">
        <f aca="false">INDEX(Sprint_Metrics!$F$7:$F$16,RANDBETWEEN(1,ROWS(Sprint_Metrics!$F$7:$F$16)))</f>
        <v>11</v>
      </c>
      <c r="I100" s="29" t="n">
        <f aca="false">INDEX(Sprint_Metrics!$F$7:$F$16,RANDBETWEEN(1,ROWS(Sprint_Metrics!$F$7:$F$16)))</f>
        <v>8</v>
      </c>
      <c r="J100" s="29" t="n">
        <f aca="false">B100</f>
        <v>8</v>
      </c>
      <c r="K100" s="29" t="n">
        <f aca="false">J100+C100</f>
        <v>16</v>
      </c>
      <c r="L100" s="29" t="n">
        <f aca="false">K100+D100</f>
        <v>23</v>
      </c>
      <c r="M100" s="29" t="n">
        <f aca="false">L100+E100</f>
        <v>31</v>
      </c>
      <c r="N100" s="29" t="n">
        <f aca="false">M100+F100</f>
        <v>39</v>
      </c>
      <c r="O100" s="29" t="n">
        <f aca="false">N100+G100</f>
        <v>48</v>
      </c>
      <c r="P100" s="29" t="n">
        <f aca="false">O100+H100</f>
        <v>59</v>
      </c>
      <c r="Q100" s="29" t="n">
        <f aca="false">P100+I100</f>
        <v>67</v>
      </c>
    </row>
    <row r="101" customFormat="false" ht="15" hidden="false" customHeight="false" outlineLevel="0" collapsed="false">
      <c r="A101" s="29" t="n">
        <v>100</v>
      </c>
      <c r="B101" s="29" t="n">
        <f aca="false">INDEX(Sprint_Metrics!$F$7:$F$16,RANDBETWEEN(1,ROWS(Sprint_Metrics!$F$7:$F$16)))</f>
        <v>12</v>
      </c>
      <c r="C101" s="29" t="n">
        <f aca="false">INDEX(Sprint_Metrics!$F$7:$F$16,RANDBETWEEN(1,ROWS(Sprint_Metrics!$F$7:$F$16)))</f>
        <v>12</v>
      </c>
      <c r="D101" s="29" t="n">
        <f aca="false">INDEX(Sprint_Metrics!$F$7:$F$16,RANDBETWEEN(1,ROWS(Sprint_Metrics!$F$7:$F$16)))</f>
        <v>7</v>
      </c>
      <c r="E101" s="29" t="n">
        <f aca="false">INDEX(Sprint_Metrics!$F$7:$F$16,RANDBETWEEN(1,ROWS(Sprint_Metrics!$F$7:$F$16)))</f>
        <v>8</v>
      </c>
      <c r="F101" s="29" t="n">
        <f aca="false">INDEX(Sprint_Metrics!$F$7:$F$16,RANDBETWEEN(1,ROWS(Sprint_Metrics!$F$7:$F$16)))</f>
        <v>12</v>
      </c>
      <c r="G101" s="29" t="n">
        <f aca="false">INDEX(Sprint_Metrics!$F$7:$F$16,RANDBETWEEN(1,ROWS(Sprint_Metrics!$F$7:$F$16)))</f>
        <v>8</v>
      </c>
      <c r="H101" s="29" t="n">
        <f aca="false">INDEX(Sprint_Metrics!$F$7:$F$16,RANDBETWEEN(1,ROWS(Sprint_Metrics!$F$7:$F$16)))</f>
        <v>11</v>
      </c>
      <c r="I101" s="29" t="n">
        <f aca="false">INDEX(Sprint_Metrics!$F$7:$F$16,RANDBETWEEN(1,ROWS(Sprint_Metrics!$F$7:$F$16)))</f>
        <v>11</v>
      </c>
      <c r="J101" s="29" t="n">
        <f aca="false">B101</f>
        <v>12</v>
      </c>
      <c r="K101" s="29" t="n">
        <f aca="false">J101+C101</f>
        <v>24</v>
      </c>
      <c r="L101" s="29" t="n">
        <f aca="false">K101+D101</f>
        <v>31</v>
      </c>
      <c r="M101" s="29" t="n">
        <f aca="false">L101+E101</f>
        <v>39</v>
      </c>
      <c r="N101" s="29" t="n">
        <f aca="false">M101+F101</f>
        <v>51</v>
      </c>
      <c r="O101" s="29" t="n">
        <f aca="false">N101+G101</f>
        <v>59</v>
      </c>
      <c r="P101" s="29" t="n">
        <f aca="false">O101+H101</f>
        <v>70</v>
      </c>
      <c r="Q101" s="29" t="n">
        <f aca="false">P101+I101</f>
        <v>81</v>
      </c>
    </row>
    <row r="102" customFormat="false" ht="15" hidden="false" customHeight="false" outlineLevel="0" collapsed="false">
      <c r="A102" s="29" t="n">
        <v>101</v>
      </c>
      <c r="B102" s="29" t="n">
        <f aca="false">INDEX(Sprint_Metrics!$F$7:$F$16,RANDBETWEEN(1,ROWS(Sprint_Metrics!$F$7:$F$16)))</f>
        <v>8</v>
      </c>
      <c r="C102" s="29" t="n">
        <f aca="false">INDEX(Sprint_Metrics!$F$7:$F$16,RANDBETWEEN(1,ROWS(Sprint_Metrics!$F$7:$F$16)))</f>
        <v>8</v>
      </c>
      <c r="D102" s="29" t="n">
        <f aca="false">INDEX(Sprint_Metrics!$F$7:$F$16,RANDBETWEEN(1,ROWS(Sprint_Metrics!$F$7:$F$16)))</f>
        <v>9</v>
      </c>
      <c r="E102" s="29" t="n">
        <f aca="false">INDEX(Sprint_Metrics!$F$7:$F$16,RANDBETWEEN(1,ROWS(Sprint_Metrics!$F$7:$F$16)))</f>
        <v>8</v>
      </c>
      <c r="F102" s="29" t="n">
        <f aca="false">INDEX(Sprint_Metrics!$F$7:$F$16,RANDBETWEEN(1,ROWS(Sprint_Metrics!$F$7:$F$16)))</f>
        <v>8</v>
      </c>
      <c r="G102" s="29" t="n">
        <f aca="false">INDEX(Sprint_Metrics!$F$7:$F$16,RANDBETWEEN(1,ROWS(Sprint_Metrics!$F$7:$F$16)))</f>
        <v>7</v>
      </c>
      <c r="H102" s="29" t="n">
        <f aca="false">INDEX(Sprint_Metrics!$F$7:$F$16,RANDBETWEEN(1,ROWS(Sprint_Metrics!$F$7:$F$16)))</f>
        <v>12</v>
      </c>
      <c r="I102" s="29" t="n">
        <f aca="false">INDEX(Sprint_Metrics!$F$7:$F$16,RANDBETWEEN(1,ROWS(Sprint_Metrics!$F$7:$F$16)))</f>
        <v>9</v>
      </c>
      <c r="J102" s="29" t="n">
        <f aca="false">B102</f>
        <v>8</v>
      </c>
      <c r="K102" s="29" t="n">
        <f aca="false">J102+C102</f>
        <v>16</v>
      </c>
      <c r="L102" s="29" t="n">
        <f aca="false">K102+D102</f>
        <v>25</v>
      </c>
      <c r="M102" s="29" t="n">
        <f aca="false">L102+E102</f>
        <v>33</v>
      </c>
      <c r="N102" s="29" t="n">
        <f aca="false">M102+F102</f>
        <v>41</v>
      </c>
      <c r="O102" s="29" t="n">
        <f aca="false">N102+G102</f>
        <v>48</v>
      </c>
      <c r="P102" s="29" t="n">
        <f aca="false">O102+H102</f>
        <v>60</v>
      </c>
      <c r="Q102" s="29" t="n">
        <f aca="false">P102+I102</f>
        <v>69</v>
      </c>
    </row>
    <row r="103" customFormat="false" ht="15" hidden="false" customHeight="false" outlineLevel="0" collapsed="false">
      <c r="A103" s="29" t="n">
        <v>102</v>
      </c>
      <c r="B103" s="29" t="n">
        <f aca="false">INDEX(Sprint_Metrics!$F$7:$F$16,RANDBETWEEN(1,ROWS(Sprint_Metrics!$F$7:$F$16)))</f>
        <v>12</v>
      </c>
      <c r="C103" s="29" t="n">
        <f aca="false">INDEX(Sprint_Metrics!$F$7:$F$16,RANDBETWEEN(1,ROWS(Sprint_Metrics!$F$7:$F$16)))</f>
        <v>8</v>
      </c>
      <c r="D103" s="29" t="n">
        <f aca="false">INDEX(Sprint_Metrics!$F$7:$F$16,RANDBETWEEN(1,ROWS(Sprint_Metrics!$F$7:$F$16)))</f>
        <v>9</v>
      </c>
      <c r="E103" s="29" t="n">
        <f aca="false">INDEX(Sprint_Metrics!$F$7:$F$16,RANDBETWEEN(1,ROWS(Sprint_Metrics!$F$7:$F$16)))</f>
        <v>7</v>
      </c>
      <c r="F103" s="29" t="n">
        <f aca="false">INDEX(Sprint_Metrics!$F$7:$F$16,RANDBETWEEN(1,ROWS(Sprint_Metrics!$F$7:$F$16)))</f>
        <v>8</v>
      </c>
      <c r="G103" s="29" t="n">
        <f aca="false">INDEX(Sprint_Metrics!$F$7:$F$16,RANDBETWEEN(1,ROWS(Sprint_Metrics!$F$7:$F$16)))</f>
        <v>7</v>
      </c>
      <c r="H103" s="29" t="n">
        <f aca="false">INDEX(Sprint_Metrics!$F$7:$F$16,RANDBETWEEN(1,ROWS(Sprint_Metrics!$F$7:$F$16)))</f>
        <v>9</v>
      </c>
      <c r="I103" s="29" t="n">
        <f aca="false">INDEX(Sprint_Metrics!$F$7:$F$16,RANDBETWEEN(1,ROWS(Sprint_Metrics!$F$7:$F$16)))</f>
        <v>8</v>
      </c>
      <c r="J103" s="29" t="n">
        <f aca="false">B103</f>
        <v>12</v>
      </c>
      <c r="K103" s="29" t="n">
        <f aca="false">J103+C103</f>
        <v>20</v>
      </c>
      <c r="L103" s="29" t="n">
        <f aca="false">K103+D103</f>
        <v>29</v>
      </c>
      <c r="M103" s="29" t="n">
        <f aca="false">L103+E103</f>
        <v>36</v>
      </c>
      <c r="N103" s="29" t="n">
        <f aca="false">M103+F103</f>
        <v>44</v>
      </c>
      <c r="O103" s="29" t="n">
        <f aca="false">N103+G103</f>
        <v>51</v>
      </c>
      <c r="P103" s="29" t="n">
        <f aca="false">O103+H103</f>
        <v>60</v>
      </c>
      <c r="Q103" s="29" t="n">
        <f aca="false">P103+I103</f>
        <v>68</v>
      </c>
    </row>
    <row r="104" customFormat="false" ht="15" hidden="false" customHeight="false" outlineLevel="0" collapsed="false">
      <c r="A104" s="29" t="n">
        <v>103</v>
      </c>
      <c r="B104" s="29" t="n">
        <f aca="false">INDEX(Sprint_Metrics!$F$7:$F$16,RANDBETWEEN(1,ROWS(Sprint_Metrics!$F$7:$F$16)))</f>
        <v>11</v>
      </c>
      <c r="C104" s="29" t="n">
        <f aca="false">INDEX(Sprint_Metrics!$F$7:$F$16,RANDBETWEEN(1,ROWS(Sprint_Metrics!$F$7:$F$16)))</f>
        <v>7</v>
      </c>
      <c r="D104" s="29" t="n">
        <f aca="false">INDEX(Sprint_Metrics!$F$7:$F$16,RANDBETWEEN(1,ROWS(Sprint_Metrics!$F$7:$F$16)))</f>
        <v>8</v>
      </c>
      <c r="E104" s="29" t="n">
        <f aca="false">INDEX(Sprint_Metrics!$F$7:$F$16,RANDBETWEEN(1,ROWS(Sprint_Metrics!$F$7:$F$16)))</f>
        <v>9</v>
      </c>
      <c r="F104" s="29" t="n">
        <f aca="false">INDEX(Sprint_Metrics!$F$7:$F$16,RANDBETWEEN(1,ROWS(Sprint_Metrics!$F$7:$F$16)))</f>
        <v>11</v>
      </c>
      <c r="G104" s="29" t="n">
        <f aca="false">INDEX(Sprint_Metrics!$F$7:$F$16,RANDBETWEEN(1,ROWS(Sprint_Metrics!$F$7:$F$16)))</f>
        <v>8</v>
      </c>
      <c r="H104" s="29" t="n">
        <f aca="false">INDEX(Sprint_Metrics!$F$7:$F$16,RANDBETWEEN(1,ROWS(Sprint_Metrics!$F$7:$F$16)))</f>
        <v>8</v>
      </c>
      <c r="I104" s="29" t="n">
        <f aca="false">INDEX(Sprint_Metrics!$F$7:$F$16,RANDBETWEEN(1,ROWS(Sprint_Metrics!$F$7:$F$16)))</f>
        <v>11</v>
      </c>
      <c r="J104" s="29" t="n">
        <f aca="false">B104</f>
        <v>11</v>
      </c>
      <c r="K104" s="29" t="n">
        <f aca="false">J104+C104</f>
        <v>18</v>
      </c>
      <c r="L104" s="29" t="n">
        <f aca="false">K104+D104</f>
        <v>26</v>
      </c>
      <c r="M104" s="29" t="n">
        <f aca="false">L104+E104</f>
        <v>35</v>
      </c>
      <c r="N104" s="29" t="n">
        <f aca="false">M104+F104</f>
        <v>46</v>
      </c>
      <c r="O104" s="29" t="n">
        <f aca="false">N104+G104</f>
        <v>54</v>
      </c>
      <c r="P104" s="29" t="n">
        <f aca="false">O104+H104</f>
        <v>62</v>
      </c>
      <c r="Q104" s="29" t="n">
        <f aca="false">P104+I104</f>
        <v>73</v>
      </c>
    </row>
    <row r="105" customFormat="false" ht="15" hidden="false" customHeight="false" outlineLevel="0" collapsed="false">
      <c r="A105" s="29" t="n">
        <v>104</v>
      </c>
      <c r="B105" s="29" t="n">
        <f aca="false">INDEX(Sprint_Metrics!$F$7:$F$16,RANDBETWEEN(1,ROWS(Sprint_Metrics!$F$7:$F$16)))</f>
        <v>9</v>
      </c>
      <c r="C105" s="29" t="n">
        <f aca="false">INDEX(Sprint_Metrics!$F$7:$F$16,RANDBETWEEN(1,ROWS(Sprint_Metrics!$F$7:$F$16)))</f>
        <v>7</v>
      </c>
      <c r="D105" s="29" t="n">
        <f aca="false">INDEX(Sprint_Metrics!$F$7:$F$16,RANDBETWEEN(1,ROWS(Sprint_Metrics!$F$7:$F$16)))</f>
        <v>8</v>
      </c>
      <c r="E105" s="29" t="n">
        <f aca="false">INDEX(Sprint_Metrics!$F$7:$F$16,RANDBETWEEN(1,ROWS(Sprint_Metrics!$F$7:$F$16)))</f>
        <v>7</v>
      </c>
      <c r="F105" s="29" t="n">
        <f aca="false">INDEX(Sprint_Metrics!$F$7:$F$16,RANDBETWEEN(1,ROWS(Sprint_Metrics!$F$7:$F$16)))</f>
        <v>9</v>
      </c>
      <c r="G105" s="29" t="n">
        <f aca="false">INDEX(Sprint_Metrics!$F$7:$F$16,RANDBETWEEN(1,ROWS(Sprint_Metrics!$F$7:$F$16)))</f>
        <v>7</v>
      </c>
      <c r="H105" s="29" t="n">
        <f aca="false">INDEX(Sprint_Metrics!$F$7:$F$16,RANDBETWEEN(1,ROWS(Sprint_Metrics!$F$7:$F$16)))</f>
        <v>11</v>
      </c>
      <c r="I105" s="29" t="n">
        <f aca="false">INDEX(Sprint_Metrics!$F$7:$F$16,RANDBETWEEN(1,ROWS(Sprint_Metrics!$F$7:$F$16)))</f>
        <v>7</v>
      </c>
      <c r="J105" s="29" t="n">
        <f aca="false">B105</f>
        <v>9</v>
      </c>
      <c r="K105" s="29" t="n">
        <f aca="false">J105+C105</f>
        <v>16</v>
      </c>
      <c r="L105" s="29" t="n">
        <f aca="false">K105+D105</f>
        <v>24</v>
      </c>
      <c r="M105" s="29" t="n">
        <f aca="false">L105+E105</f>
        <v>31</v>
      </c>
      <c r="N105" s="29" t="n">
        <f aca="false">M105+F105</f>
        <v>40</v>
      </c>
      <c r="O105" s="29" t="n">
        <f aca="false">N105+G105</f>
        <v>47</v>
      </c>
      <c r="P105" s="29" t="n">
        <f aca="false">O105+H105</f>
        <v>58</v>
      </c>
      <c r="Q105" s="29" t="n">
        <f aca="false">P105+I105</f>
        <v>65</v>
      </c>
    </row>
    <row r="106" customFormat="false" ht="15" hidden="false" customHeight="false" outlineLevel="0" collapsed="false">
      <c r="A106" s="29" t="n">
        <v>105</v>
      </c>
      <c r="B106" s="29" t="n">
        <f aca="false">INDEX(Sprint_Metrics!$F$7:$F$16,RANDBETWEEN(1,ROWS(Sprint_Metrics!$F$7:$F$16)))</f>
        <v>7</v>
      </c>
      <c r="C106" s="29" t="n">
        <f aca="false">INDEX(Sprint_Metrics!$F$7:$F$16,RANDBETWEEN(1,ROWS(Sprint_Metrics!$F$7:$F$16)))</f>
        <v>8</v>
      </c>
      <c r="D106" s="29" t="n">
        <f aca="false">INDEX(Sprint_Metrics!$F$7:$F$16,RANDBETWEEN(1,ROWS(Sprint_Metrics!$F$7:$F$16)))</f>
        <v>8</v>
      </c>
      <c r="E106" s="29" t="n">
        <f aca="false">INDEX(Sprint_Metrics!$F$7:$F$16,RANDBETWEEN(1,ROWS(Sprint_Metrics!$F$7:$F$16)))</f>
        <v>7</v>
      </c>
      <c r="F106" s="29" t="n">
        <f aca="false">INDEX(Sprint_Metrics!$F$7:$F$16,RANDBETWEEN(1,ROWS(Sprint_Metrics!$F$7:$F$16)))</f>
        <v>12</v>
      </c>
      <c r="G106" s="29" t="n">
        <f aca="false">INDEX(Sprint_Metrics!$F$7:$F$16,RANDBETWEEN(1,ROWS(Sprint_Metrics!$F$7:$F$16)))</f>
        <v>7</v>
      </c>
      <c r="H106" s="29" t="n">
        <f aca="false">INDEX(Sprint_Metrics!$F$7:$F$16,RANDBETWEEN(1,ROWS(Sprint_Metrics!$F$7:$F$16)))</f>
        <v>9</v>
      </c>
      <c r="I106" s="29" t="n">
        <f aca="false">INDEX(Sprint_Metrics!$F$7:$F$16,RANDBETWEEN(1,ROWS(Sprint_Metrics!$F$7:$F$16)))</f>
        <v>8</v>
      </c>
      <c r="J106" s="29" t="n">
        <f aca="false">B106</f>
        <v>7</v>
      </c>
      <c r="K106" s="29" t="n">
        <f aca="false">J106+C106</f>
        <v>15</v>
      </c>
      <c r="L106" s="29" t="n">
        <f aca="false">K106+D106</f>
        <v>23</v>
      </c>
      <c r="M106" s="29" t="n">
        <f aca="false">L106+E106</f>
        <v>30</v>
      </c>
      <c r="N106" s="29" t="n">
        <f aca="false">M106+F106</f>
        <v>42</v>
      </c>
      <c r="O106" s="29" t="n">
        <f aca="false">N106+G106</f>
        <v>49</v>
      </c>
      <c r="P106" s="29" t="n">
        <f aca="false">O106+H106</f>
        <v>58</v>
      </c>
      <c r="Q106" s="29" t="n">
        <f aca="false">P106+I106</f>
        <v>66</v>
      </c>
    </row>
    <row r="107" customFormat="false" ht="15" hidden="false" customHeight="false" outlineLevel="0" collapsed="false">
      <c r="A107" s="29" t="n">
        <v>106</v>
      </c>
      <c r="B107" s="29" t="n">
        <f aca="false">INDEX(Sprint_Metrics!$F$7:$F$16,RANDBETWEEN(1,ROWS(Sprint_Metrics!$F$7:$F$16)))</f>
        <v>8</v>
      </c>
      <c r="C107" s="29" t="n">
        <f aca="false">INDEX(Sprint_Metrics!$F$7:$F$16,RANDBETWEEN(1,ROWS(Sprint_Metrics!$F$7:$F$16)))</f>
        <v>11</v>
      </c>
      <c r="D107" s="29" t="n">
        <f aca="false">INDEX(Sprint_Metrics!$F$7:$F$16,RANDBETWEEN(1,ROWS(Sprint_Metrics!$F$7:$F$16)))</f>
        <v>11</v>
      </c>
      <c r="E107" s="29" t="n">
        <f aca="false">INDEX(Sprint_Metrics!$F$7:$F$16,RANDBETWEEN(1,ROWS(Sprint_Metrics!$F$7:$F$16)))</f>
        <v>7</v>
      </c>
      <c r="F107" s="29" t="n">
        <f aca="false">INDEX(Sprint_Metrics!$F$7:$F$16,RANDBETWEEN(1,ROWS(Sprint_Metrics!$F$7:$F$16)))</f>
        <v>7</v>
      </c>
      <c r="G107" s="29" t="n">
        <f aca="false">INDEX(Sprint_Metrics!$F$7:$F$16,RANDBETWEEN(1,ROWS(Sprint_Metrics!$F$7:$F$16)))</f>
        <v>8</v>
      </c>
      <c r="H107" s="29" t="n">
        <f aca="false">INDEX(Sprint_Metrics!$F$7:$F$16,RANDBETWEEN(1,ROWS(Sprint_Metrics!$F$7:$F$16)))</f>
        <v>9</v>
      </c>
      <c r="I107" s="29" t="n">
        <f aca="false">INDEX(Sprint_Metrics!$F$7:$F$16,RANDBETWEEN(1,ROWS(Sprint_Metrics!$F$7:$F$16)))</f>
        <v>9</v>
      </c>
      <c r="J107" s="29" t="n">
        <f aca="false">B107</f>
        <v>8</v>
      </c>
      <c r="K107" s="29" t="n">
        <f aca="false">J107+C107</f>
        <v>19</v>
      </c>
      <c r="L107" s="29" t="n">
        <f aca="false">K107+D107</f>
        <v>30</v>
      </c>
      <c r="M107" s="29" t="n">
        <f aca="false">L107+E107</f>
        <v>37</v>
      </c>
      <c r="N107" s="29" t="n">
        <f aca="false">M107+F107</f>
        <v>44</v>
      </c>
      <c r="O107" s="29" t="n">
        <f aca="false">N107+G107</f>
        <v>52</v>
      </c>
      <c r="P107" s="29" t="n">
        <f aca="false">O107+H107</f>
        <v>61</v>
      </c>
      <c r="Q107" s="29" t="n">
        <f aca="false">P107+I107</f>
        <v>70</v>
      </c>
    </row>
    <row r="108" customFormat="false" ht="15" hidden="false" customHeight="false" outlineLevel="0" collapsed="false">
      <c r="A108" s="29" t="n">
        <v>107</v>
      </c>
      <c r="B108" s="29" t="n">
        <f aca="false">INDEX(Sprint_Metrics!$F$7:$F$16,RANDBETWEEN(1,ROWS(Sprint_Metrics!$F$7:$F$16)))</f>
        <v>11</v>
      </c>
      <c r="C108" s="29" t="n">
        <f aca="false">INDEX(Sprint_Metrics!$F$7:$F$16,RANDBETWEEN(1,ROWS(Sprint_Metrics!$F$7:$F$16)))</f>
        <v>7</v>
      </c>
      <c r="D108" s="29" t="n">
        <f aca="false">INDEX(Sprint_Metrics!$F$7:$F$16,RANDBETWEEN(1,ROWS(Sprint_Metrics!$F$7:$F$16)))</f>
        <v>8</v>
      </c>
      <c r="E108" s="29" t="n">
        <f aca="false">INDEX(Sprint_Metrics!$F$7:$F$16,RANDBETWEEN(1,ROWS(Sprint_Metrics!$F$7:$F$16)))</f>
        <v>8</v>
      </c>
      <c r="F108" s="29" t="n">
        <f aca="false">INDEX(Sprint_Metrics!$F$7:$F$16,RANDBETWEEN(1,ROWS(Sprint_Metrics!$F$7:$F$16)))</f>
        <v>8</v>
      </c>
      <c r="G108" s="29" t="n">
        <f aca="false">INDEX(Sprint_Metrics!$F$7:$F$16,RANDBETWEEN(1,ROWS(Sprint_Metrics!$F$7:$F$16)))</f>
        <v>8</v>
      </c>
      <c r="H108" s="29" t="n">
        <f aca="false">INDEX(Sprint_Metrics!$F$7:$F$16,RANDBETWEEN(1,ROWS(Sprint_Metrics!$F$7:$F$16)))</f>
        <v>8</v>
      </c>
      <c r="I108" s="29" t="n">
        <f aca="false">INDEX(Sprint_Metrics!$F$7:$F$16,RANDBETWEEN(1,ROWS(Sprint_Metrics!$F$7:$F$16)))</f>
        <v>9</v>
      </c>
      <c r="J108" s="29" t="n">
        <f aca="false">B108</f>
        <v>11</v>
      </c>
      <c r="K108" s="29" t="n">
        <f aca="false">J108+C108</f>
        <v>18</v>
      </c>
      <c r="L108" s="29" t="n">
        <f aca="false">K108+D108</f>
        <v>26</v>
      </c>
      <c r="M108" s="29" t="n">
        <f aca="false">L108+E108</f>
        <v>34</v>
      </c>
      <c r="N108" s="29" t="n">
        <f aca="false">M108+F108</f>
        <v>42</v>
      </c>
      <c r="O108" s="29" t="n">
        <f aca="false">N108+G108</f>
        <v>50</v>
      </c>
      <c r="P108" s="29" t="n">
        <f aca="false">O108+H108</f>
        <v>58</v>
      </c>
      <c r="Q108" s="29" t="n">
        <f aca="false">P108+I108</f>
        <v>67</v>
      </c>
    </row>
    <row r="109" customFormat="false" ht="15" hidden="false" customHeight="false" outlineLevel="0" collapsed="false">
      <c r="A109" s="29" t="n">
        <v>108</v>
      </c>
      <c r="B109" s="29" t="n">
        <f aca="false">INDEX(Sprint_Metrics!$F$7:$F$16,RANDBETWEEN(1,ROWS(Sprint_Metrics!$F$7:$F$16)))</f>
        <v>9</v>
      </c>
      <c r="C109" s="29" t="n">
        <f aca="false">INDEX(Sprint_Metrics!$F$7:$F$16,RANDBETWEEN(1,ROWS(Sprint_Metrics!$F$7:$F$16)))</f>
        <v>7</v>
      </c>
      <c r="D109" s="29" t="n">
        <f aca="false">INDEX(Sprint_Metrics!$F$7:$F$16,RANDBETWEEN(1,ROWS(Sprint_Metrics!$F$7:$F$16)))</f>
        <v>11</v>
      </c>
      <c r="E109" s="29" t="n">
        <f aca="false">INDEX(Sprint_Metrics!$F$7:$F$16,RANDBETWEEN(1,ROWS(Sprint_Metrics!$F$7:$F$16)))</f>
        <v>8</v>
      </c>
      <c r="F109" s="29" t="n">
        <f aca="false">INDEX(Sprint_Metrics!$F$7:$F$16,RANDBETWEEN(1,ROWS(Sprint_Metrics!$F$7:$F$16)))</f>
        <v>9</v>
      </c>
      <c r="G109" s="29" t="n">
        <f aca="false">INDEX(Sprint_Metrics!$F$7:$F$16,RANDBETWEEN(1,ROWS(Sprint_Metrics!$F$7:$F$16)))</f>
        <v>9</v>
      </c>
      <c r="H109" s="29" t="n">
        <f aca="false">INDEX(Sprint_Metrics!$F$7:$F$16,RANDBETWEEN(1,ROWS(Sprint_Metrics!$F$7:$F$16)))</f>
        <v>7</v>
      </c>
      <c r="I109" s="29" t="n">
        <f aca="false">INDEX(Sprint_Metrics!$F$7:$F$16,RANDBETWEEN(1,ROWS(Sprint_Metrics!$F$7:$F$16)))</f>
        <v>7</v>
      </c>
      <c r="J109" s="29" t="n">
        <f aca="false">B109</f>
        <v>9</v>
      </c>
      <c r="K109" s="29" t="n">
        <f aca="false">J109+C109</f>
        <v>16</v>
      </c>
      <c r="L109" s="29" t="n">
        <f aca="false">K109+D109</f>
        <v>27</v>
      </c>
      <c r="M109" s="29" t="n">
        <f aca="false">L109+E109</f>
        <v>35</v>
      </c>
      <c r="N109" s="29" t="n">
        <f aca="false">M109+F109</f>
        <v>44</v>
      </c>
      <c r="O109" s="29" t="n">
        <f aca="false">N109+G109</f>
        <v>53</v>
      </c>
      <c r="P109" s="29" t="n">
        <f aca="false">O109+H109</f>
        <v>60</v>
      </c>
      <c r="Q109" s="29" t="n">
        <f aca="false">P109+I109</f>
        <v>67</v>
      </c>
    </row>
    <row r="110" customFormat="false" ht="15" hidden="false" customHeight="false" outlineLevel="0" collapsed="false">
      <c r="A110" s="29" t="n">
        <v>109</v>
      </c>
      <c r="B110" s="29" t="n">
        <f aca="false">INDEX(Sprint_Metrics!$F$7:$F$16,RANDBETWEEN(1,ROWS(Sprint_Metrics!$F$7:$F$16)))</f>
        <v>7</v>
      </c>
      <c r="C110" s="29" t="n">
        <f aca="false">INDEX(Sprint_Metrics!$F$7:$F$16,RANDBETWEEN(1,ROWS(Sprint_Metrics!$F$7:$F$16)))</f>
        <v>9</v>
      </c>
      <c r="D110" s="29" t="n">
        <f aca="false">INDEX(Sprint_Metrics!$F$7:$F$16,RANDBETWEEN(1,ROWS(Sprint_Metrics!$F$7:$F$16)))</f>
        <v>11</v>
      </c>
      <c r="E110" s="29" t="n">
        <f aca="false">INDEX(Sprint_Metrics!$F$7:$F$16,RANDBETWEEN(1,ROWS(Sprint_Metrics!$F$7:$F$16)))</f>
        <v>7</v>
      </c>
      <c r="F110" s="29" t="n">
        <f aca="false">INDEX(Sprint_Metrics!$F$7:$F$16,RANDBETWEEN(1,ROWS(Sprint_Metrics!$F$7:$F$16)))</f>
        <v>9</v>
      </c>
      <c r="G110" s="29" t="n">
        <f aca="false">INDEX(Sprint_Metrics!$F$7:$F$16,RANDBETWEEN(1,ROWS(Sprint_Metrics!$F$7:$F$16)))</f>
        <v>8</v>
      </c>
      <c r="H110" s="29" t="n">
        <f aca="false">INDEX(Sprint_Metrics!$F$7:$F$16,RANDBETWEEN(1,ROWS(Sprint_Metrics!$F$7:$F$16)))</f>
        <v>8</v>
      </c>
      <c r="I110" s="29" t="n">
        <f aca="false">INDEX(Sprint_Metrics!$F$7:$F$16,RANDBETWEEN(1,ROWS(Sprint_Metrics!$F$7:$F$16)))</f>
        <v>8</v>
      </c>
      <c r="J110" s="29" t="n">
        <f aca="false">B110</f>
        <v>7</v>
      </c>
      <c r="K110" s="29" t="n">
        <f aca="false">J110+C110</f>
        <v>16</v>
      </c>
      <c r="L110" s="29" t="n">
        <f aca="false">K110+D110</f>
        <v>27</v>
      </c>
      <c r="M110" s="29" t="n">
        <f aca="false">L110+E110</f>
        <v>34</v>
      </c>
      <c r="N110" s="29" t="n">
        <f aca="false">M110+F110</f>
        <v>43</v>
      </c>
      <c r="O110" s="29" t="n">
        <f aca="false">N110+G110</f>
        <v>51</v>
      </c>
      <c r="P110" s="29" t="n">
        <f aca="false">O110+H110</f>
        <v>59</v>
      </c>
      <c r="Q110" s="29" t="n">
        <f aca="false">P110+I110</f>
        <v>67</v>
      </c>
    </row>
    <row r="111" customFormat="false" ht="15" hidden="false" customHeight="false" outlineLevel="0" collapsed="false">
      <c r="A111" s="29" t="n">
        <v>110</v>
      </c>
      <c r="B111" s="29" t="n">
        <f aca="false">INDEX(Sprint_Metrics!$F$7:$F$16,RANDBETWEEN(1,ROWS(Sprint_Metrics!$F$7:$F$16)))</f>
        <v>9</v>
      </c>
      <c r="C111" s="29" t="n">
        <f aca="false">INDEX(Sprint_Metrics!$F$7:$F$16,RANDBETWEEN(1,ROWS(Sprint_Metrics!$F$7:$F$16)))</f>
        <v>7</v>
      </c>
      <c r="D111" s="29" t="n">
        <f aca="false">INDEX(Sprint_Metrics!$F$7:$F$16,RANDBETWEEN(1,ROWS(Sprint_Metrics!$F$7:$F$16)))</f>
        <v>8</v>
      </c>
      <c r="E111" s="29" t="n">
        <f aca="false">INDEX(Sprint_Metrics!$F$7:$F$16,RANDBETWEEN(1,ROWS(Sprint_Metrics!$F$7:$F$16)))</f>
        <v>11</v>
      </c>
      <c r="F111" s="29" t="n">
        <f aca="false">INDEX(Sprint_Metrics!$F$7:$F$16,RANDBETWEEN(1,ROWS(Sprint_Metrics!$F$7:$F$16)))</f>
        <v>9</v>
      </c>
      <c r="G111" s="29" t="n">
        <f aca="false">INDEX(Sprint_Metrics!$F$7:$F$16,RANDBETWEEN(1,ROWS(Sprint_Metrics!$F$7:$F$16)))</f>
        <v>7</v>
      </c>
      <c r="H111" s="29" t="n">
        <f aca="false">INDEX(Sprint_Metrics!$F$7:$F$16,RANDBETWEEN(1,ROWS(Sprint_Metrics!$F$7:$F$16)))</f>
        <v>9</v>
      </c>
      <c r="I111" s="29" t="n">
        <f aca="false">INDEX(Sprint_Metrics!$F$7:$F$16,RANDBETWEEN(1,ROWS(Sprint_Metrics!$F$7:$F$16)))</f>
        <v>11</v>
      </c>
      <c r="J111" s="29" t="n">
        <f aca="false">B111</f>
        <v>9</v>
      </c>
      <c r="K111" s="29" t="n">
        <f aca="false">J111+C111</f>
        <v>16</v>
      </c>
      <c r="L111" s="29" t="n">
        <f aca="false">K111+D111</f>
        <v>24</v>
      </c>
      <c r="M111" s="29" t="n">
        <f aca="false">L111+E111</f>
        <v>35</v>
      </c>
      <c r="N111" s="29" t="n">
        <f aca="false">M111+F111</f>
        <v>44</v>
      </c>
      <c r="O111" s="29" t="n">
        <f aca="false">N111+G111</f>
        <v>51</v>
      </c>
      <c r="P111" s="29" t="n">
        <f aca="false">O111+H111</f>
        <v>60</v>
      </c>
      <c r="Q111" s="29" t="n">
        <f aca="false">P111+I111</f>
        <v>71</v>
      </c>
    </row>
    <row r="112" customFormat="false" ht="15" hidden="false" customHeight="false" outlineLevel="0" collapsed="false">
      <c r="A112" s="29" t="n">
        <v>111</v>
      </c>
      <c r="B112" s="29" t="n">
        <f aca="false">INDEX(Sprint_Metrics!$F$7:$F$16,RANDBETWEEN(1,ROWS(Sprint_Metrics!$F$7:$F$16)))</f>
        <v>11</v>
      </c>
      <c r="C112" s="29" t="n">
        <f aca="false">INDEX(Sprint_Metrics!$F$7:$F$16,RANDBETWEEN(1,ROWS(Sprint_Metrics!$F$7:$F$16)))</f>
        <v>9</v>
      </c>
      <c r="D112" s="29" t="n">
        <f aca="false">INDEX(Sprint_Metrics!$F$7:$F$16,RANDBETWEEN(1,ROWS(Sprint_Metrics!$F$7:$F$16)))</f>
        <v>9</v>
      </c>
      <c r="E112" s="29" t="n">
        <f aca="false">INDEX(Sprint_Metrics!$F$7:$F$16,RANDBETWEEN(1,ROWS(Sprint_Metrics!$F$7:$F$16)))</f>
        <v>9</v>
      </c>
      <c r="F112" s="29" t="n">
        <f aca="false">INDEX(Sprint_Metrics!$F$7:$F$16,RANDBETWEEN(1,ROWS(Sprint_Metrics!$F$7:$F$16)))</f>
        <v>12</v>
      </c>
      <c r="G112" s="29" t="n">
        <f aca="false">INDEX(Sprint_Metrics!$F$7:$F$16,RANDBETWEEN(1,ROWS(Sprint_Metrics!$F$7:$F$16)))</f>
        <v>8</v>
      </c>
      <c r="H112" s="29" t="n">
        <f aca="false">INDEX(Sprint_Metrics!$F$7:$F$16,RANDBETWEEN(1,ROWS(Sprint_Metrics!$F$7:$F$16)))</f>
        <v>8</v>
      </c>
      <c r="I112" s="29" t="n">
        <f aca="false">INDEX(Sprint_Metrics!$F$7:$F$16,RANDBETWEEN(1,ROWS(Sprint_Metrics!$F$7:$F$16)))</f>
        <v>9</v>
      </c>
      <c r="J112" s="29" t="n">
        <f aca="false">B112</f>
        <v>11</v>
      </c>
      <c r="K112" s="29" t="n">
        <f aca="false">J112+C112</f>
        <v>20</v>
      </c>
      <c r="L112" s="29" t="n">
        <f aca="false">K112+D112</f>
        <v>29</v>
      </c>
      <c r="M112" s="29" t="n">
        <f aca="false">L112+E112</f>
        <v>38</v>
      </c>
      <c r="N112" s="29" t="n">
        <f aca="false">M112+F112</f>
        <v>50</v>
      </c>
      <c r="O112" s="29" t="n">
        <f aca="false">N112+G112</f>
        <v>58</v>
      </c>
      <c r="P112" s="29" t="n">
        <f aca="false">O112+H112</f>
        <v>66</v>
      </c>
      <c r="Q112" s="29" t="n">
        <f aca="false">P112+I112</f>
        <v>75</v>
      </c>
    </row>
    <row r="113" customFormat="false" ht="15" hidden="false" customHeight="false" outlineLevel="0" collapsed="false">
      <c r="A113" s="29" t="n">
        <v>112</v>
      </c>
      <c r="B113" s="29" t="n">
        <f aca="false">INDEX(Sprint_Metrics!$F$7:$F$16,RANDBETWEEN(1,ROWS(Sprint_Metrics!$F$7:$F$16)))</f>
        <v>11</v>
      </c>
      <c r="C113" s="29" t="n">
        <f aca="false">INDEX(Sprint_Metrics!$F$7:$F$16,RANDBETWEEN(1,ROWS(Sprint_Metrics!$F$7:$F$16)))</f>
        <v>8</v>
      </c>
      <c r="D113" s="29" t="n">
        <f aca="false">INDEX(Sprint_Metrics!$F$7:$F$16,RANDBETWEEN(1,ROWS(Sprint_Metrics!$F$7:$F$16)))</f>
        <v>8</v>
      </c>
      <c r="E113" s="29" t="n">
        <f aca="false">INDEX(Sprint_Metrics!$F$7:$F$16,RANDBETWEEN(1,ROWS(Sprint_Metrics!$F$7:$F$16)))</f>
        <v>8</v>
      </c>
      <c r="F113" s="29" t="n">
        <f aca="false">INDEX(Sprint_Metrics!$F$7:$F$16,RANDBETWEEN(1,ROWS(Sprint_Metrics!$F$7:$F$16)))</f>
        <v>8</v>
      </c>
      <c r="G113" s="29" t="n">
        <f aca="false">INDEX(Sprint_Metrics!$F$7:$F$16,RANDBETWEEN(1,ROWS(Sprint_Metrics!$F$7:$F$16)))</f>
        <v>11</v>
      </c>
      <c r="H113" s="29" t="n">
        <f aca="false">INDEX(Sprint_Metrics!$F$7:$F$16,RANDBETWEEN(1,ROWS(Sprint_Metrics!$F$7:$F$16)))</f>
        <v>12</v>
      </c>
      <c r="I113" s="29" t="n">
        <f aca="false">INDEX(Sprint_Metrics!$F$7:$F$16,RANDBETWEEN(1,ROWS(Sprint_Metrics!$F$7:$F$16)))</f>
        <v>8</v>
      </c>
      <c r="J113" s="29" t="n">
        <f aca="false">B113</f>
        <v>11</v>
      </c>
      <c r="K113" s="29" t="n">
        <f aca="false">J113+C113</f>
        <v>19</v>
      </c>
      <c r="L113" s="29" t="n">
        <f aca="false">K113+D113</f>
        <v>27</v>
      </c>
      <c r="M113" s="29" t="n">
        <f aca="false">L113+E113</f>
        <v>35</v>
      </c>
      <c r="N113" s="29" t="n">
        <f aca="false">M113+F113</f>
        <v>43</v>
      </c>
      <c r="O113" s="29" t="n">
        <f aca="false">N113+G113</f>
        <v>54</v>
      </c>
      <c r="P113" s="29" t="n">
        <f aca="false">O113+H113</f>
        <v>66</v>
      </c>
      <c r="Q113" s="29" t="n">
        <f aca="false">P113+I113</f>
        <v>74</v>
      </c>
    </row>
    <row r="114" customFormat="false" ht="15" hidden="false" customHeight="false" outlineLevel="0" collapsed="false">
      <c r="A114" s="29" t="n">
        <v>113</v>
      </c>
      <c r="B114" s="29" t="n">
        <f aca="false">INDEX(Sprint_Metrics!$F$7:$F$16,RANDBETWEEN(1,ROWS(Sprint_Metrics!$F$7:$F$16)))</f>
        <v>7</v>
      </c>
      <c r="C114" s="29" t="n">
        <f aca="false">INDEX(Sprint_Metrics!$F$7:$F$16,RANDBETWEEN(1,ROWS(Sprint_Metrics!$F$7:$F$16)))</f>
        <v>7</v>
      </c>
      <c r="D114" s="29" t="n">
        <f aca="false">INDEX(Sprint_Metrics!$F$7:$F$16,RANDBETWEEN(1,ROWS(Sprint_Metrics!$F$7:$F$16)))</f>
        <v>9</v>
      </c>
      <c r="E114" s="29" t="n">
        <f aca="false">INDEX(Sprint_Metrics!$F$7:$F$16,RANDBETWEEN(1,ROWS(Sprint_Metrics!$F$7:$F$16)))</f>
        <v>12</v>
      </c>
      <c r="F114" s="29" t="n">
        <f aca="false">INDEX(Sprint_Metrics!$F$7:$F$16,RANDBETWEEN(1,ROWS(Sprint_Metrics!$F$7:$F$16)))</f>
        <v>8</v>
      </c>
      <c r="G114" s="29" t="n">
        <f aca="false">INDEX(Sprint_Metrics!$F$7:$F$16,RANDBETWEEN(1,ROWS(Sprint_Metrics!$F$7:$F$16)))</f>
        <v>7</v>
      </c>
      <c r="H114" s="29" t="n">
        <f aca="false">INDEX(Sprint_Metrics!$F$7:$F$16,RANDBETWEEN(1,ROWS(Sprint_Metrics!$F$7:$F$16)))</f>
        <v>9</v>
      </c>
      <c r="I114" s="29" t="n">
        <f aca="false">INDEX(Sprint_Metrics!$F$7:$F$16,RANDBETWEEN(1,ROWS(Sprint_Metrics!$F$7:$F$16)))</f>
        <v>8</v>
      </c>
      <c r="J114" s="29" t="n">
        <f aca="false">B114</f>
        <v>7</v>
      </c>
      <c r="K114" s="29" t="n">
        <f aca="false">J114+C114</f>
        <v>14</v>
      </c>
      <c r="L114" s="29" t="n">
        <f aca="false">K114+D114</f>
        <v>23</v>
      </c>
      <c r="M114" s="29" t="n">
        <f aca="false">L114+E114</f>
        <v>35</v>
      </c>
      <c r="N114" s="29" t="n">
        <f aca="false">M114+F114</f>
        <v>43</v>
      </c>
      <c r="O114" s="29" t="n">
        <f aca="false">N114+G114</f>
        <v>50</v>
      </c>
      <c r="P114" s="29" t="n">
        <f aca="false">O114+H114</f>
        <v>59</v>
      </c>
      <c r="Q114" s="29" t="n">
        <f aca="false">P114+I114</f>
        <v>67</v>
      </c>
    </row>
    <row r="115" customFormat="false" ht="15" hidden="false" customHeight="false" outlineLevel="0" collapsed="false">
      <c r="A115" s="29" t="n">
        <v>114</v>
      </c>
      <c r="B115" s="29" t="n">
        <f aca="false">INDEX(Sprint_Metrics!$F$7:$F$16,RANDBETWEEN(1,ROWS(Sprint_Metrics!$F$7:$F$16)))</f>
        <v>9</v>
      </c>
      <c r="C115" s="29" t="n">
        <f aca="false">INDEX(Sprint_Metrics!$F$7:$F$16,RANDBETWEEN(1,ROWS(Sprint_Metrics!$F$7:$F$16)))</f>
        <v>8</v>
      </c>
      <c r="D115" s="29" t="n">
        <f aca="false">INDEX(Sprint_Metrics!$F$7:$F$16,RANDBETWEEN(1,ROWS(Sprint_Metrics!$F$7:$F$16)))</f>
        <v>9</v>
      </c>
      <c r="E115" s="29" t="n">
        <f aca="false">INDEX(Sprint_Metrics!$F$7:$F$16,RANDBETWEEN(1,ROWS(Sprint_Metrics!$F$7:$F$16)))</f>
        <v>7</v>
      </c>
      <c r="F115" s="29" t="n">
        <f aca="false">INDEX(Sprint_Metrics!$F$7:$F$16,RANDBETWEEN(1,ROWS(Sprint_Metrics!$F$7:$F$16)))</f>
        <v>12</v>
      </c>
      <c r="G115" s="29" t="n">
        <f aca="false">INDEX(Sprint_Metrics!$F$7:$F$16,RANDBETWEEN(1,ROWS(Sprint_Metrics!$F$7:$F$16)))</f>
        <v>8</v>
      </c>
      <c r="H115" s="29" t="n">
        <f aca="false">INDEX(Sprint_Metrics!$F$7:$F$16,RANDBETWEEN(1,ROWS(Sprint_Metrics!$F$7:$F$16)))</f>
        <v>8</v>
      </c>
      <c r="I115" s="29" t="n">
        <f aca="false">INDEX(Sprint_Metrics!$F$7:$F$16,RANDBETWEEN(1,ROWS(Sprint_Metrics!$F$7:$F$16)))</f>
        <v>11</v>
      </c>
      <c r="J115" s="29" t="n">
        <f aca="false">B115</f>
        <v>9</v>
      </c>
      <c r="K115" s="29" t="n">
        <f aca="false">J115+C115</f>
        <v>17</v>
      </c>
      <c r="L115" s="29" t="n">
        <f aca="false">K115+D115</f>
        <v>26</v>
      </c>
      <c r="M115" s="29" t="n">
        <f aca="false">L115+E115</f>
        <v>33</v>
      </c>
      <c r="N115" s="29" t="n">
        <f aca="false">M115+F115</f>
        <v>45</v>
      </c>
      <c r="O115" s="29" t="n">
        <f aca="false">N115+G115</f>
        <v>53</v>
      </c>
      <c r="P115" s="29" t="n">
        <f aca="false">O115+H115</f>
        <v>61</v>
      </c>
      <c r="Q115" s="29" t="n">
        <f aca="false">P115+I115</f>
        <v>72</v>
      </c>
    </row>
    <row r="116" customFormat="false" ht="15" hidden="false" customHeight="false" outlineLevel="0" collapsed="false">
      <c r="A116" s="29" t="n">
        <v>115</v>
      </c>
      <c r="B116" s="29" t="n">
        <f aca="false">INDEX(Sprint_Metrics!$F$7:$F$16,RANDBETWEEN(1,ROWS(Sprint_Metrics!$F$7:$F$16)))</f>
        <v>9</v>
      </c>
      <c r="C116" s="29" t="n">
        <f aca="false">INDEX(Sprint_Metrics!$F$7:$F$16,RANDBETWEEN(1,ROWS(Sprint_Metrics!$F$7:$F$16)))</f>
        <v>9</v>
      </c>
      <c r="D116" s="29" t="n">
        <f aca="false">INDEX(Sprint_Metrics!$F$7:$F$16,RANDBETWEEN(1,ROWS(Sprint_Metrics!$F$7:$F$16)))</f>
        <v>8</v>
      </c>
      <c r="E116" s="29" t="n">
        <f aca="false">INDEX(Sprint_Metrics!$F$7:$F$16,RANDBETWEEN(1,ROWS(Sprint_Metrics!$F$7:$F$16)))</f>
        <v>7</v>
      </c>
      <c r="F116" s="29" t="n">
        <f aca="false">INDEX(Sprint_Metrics!$F$7:$F$16,RANDBETWEEN(1,ROWS(Sprint_Metrics!$F$7:$F$16)))</f>
        <v>9</v>
      </c>
      <c r="G116" s="29" t="n">
        <f aca="false">INDEX(Sprint_Metrics!$F$7:$F$16,RANDBETWEEN(1,ROWS(Sprint_Metrics!$F$7:$F$16)))</f>
        <v>8</v>
      </c>
      <c r="H116" s="29" t="n">
        <f aca="false">INDEX(Sprint_Metrics!$F$7:$F$16,RANDBETWEEN(1,ROWS(Sprint_Metrics!$F$7:$F$16)))</f>
        <v>8</v>
      </c>
      <c r="I116" s="29" t="n">
        <f aca="false">INDEX(Sprint_Metrics!$F$7:$F$16,RANDBETWEEN(1,ROWS(Sprint_Metrics!$F$7:$F$16)))</f>
        <v>11</v>
      </c>
      <c r="J116" s="29" t="n">
        <f aca="false">B116</f>
        <v>9</v>
      </c>
      <c r="K116" s="29" t="n">
        <f aca="false">J116+C116</f>
        <v>18</v>
      </c>
      <c r="L116" s="29" t="n">
        <f aca="false">K116+D116</f>
        <v>26</v>
      </c>
      <c r="M116" s="29" t="n">
        <f aca="false">L116+E116</f>
        <v>33</v>
      </c>
      <c r="N116" s="29" t="n">
        <f aca="false">M116+F116</f>
        <v>42</v>
      </c>
      <c r="O116" s="29" t="n">
        <f aca="false">N116+G116</f>
        <v>50</v>
      </c>
      <c r="P116" s="29" t="n">
        <f aca="false">O116+H116</f>
        <v>58</v>
      </c>
      <c r="Q116" s="29" t="n">
        <f aca="false">P116+I116</f>
        <v>69</v>
      </c>
    </row>
    <row r="117" customFormat="false" ht="15" hidden="false" customHeight="false" outlineLevel="0" collapsed="false">
      <c r="A117" s="29" t="n">
        <v>116</v>
      </c>
      <c r="B117" s="29" t="n">
        <f aca="false">INDEX(Sprint_Metrics!$F$7:$F$16,RANDBETWEEN(1,ROWS(Sprint_Metrics!$F$7:$F$16)))</f>
        <v>7</v>
      </c>
      <c r="C117" s="29" t="n">
        <f aca="false">INDEX(Sprint_Metrics!$F$7:$F$16,RANDBETWEEN(1,ROWS(Sprint_Metrics!$F$7:$F$16)))</f>
        <v>8</v>
      </c>
      <c r="D117" s="29" t="n">
        <f aca="false">INDEX(Sprint_Metrics!$F$7:$F$16,RANDBETWEEN(1,ROWS(Sprint_Metrics!$F$7:$F$16)))</f>
        <v>7</v>
      </c>
      <c r="E117" s="29" t="n">
        <f aca="false">INDEX(Sprint_Metrics!$F$7:$F$16,RANDBETWEEN(1,ROWS(Sprint_Metrics!$F$7:$F$16)))</f>
        <v>8</v>
      </c>
      <c r="F117" s="29" t="n">
        <f aca="false">INDEX(Sprint_Metrics!$F$7:$F$16,RANDBETWEEN(1,ROWS(Sprint_Metrics!$F$7:$F$16)))</f>
        <v>9</v>
      </c>
      <c r="G117" s="29" t="n">
        <f aca="false">INDEX(Sprint_Metrics!$F$7:$F$16,RANDBETWEEN(1,ROWS(Sprint_Metrics!$F$7:$F$16)))</f>
        <v>9</v>
      </c>
      <c r="H117" s="29" t="n">
        <f aca="false">INDEX(Sprint_Metrics!$F$7:$F$16,RANDBETWEEN(1,ROWS(Sprint_Metrics!$F$7:$F$16)))</f>
        <v>9</v>
      </c>
      <c r="I117" s="29" t="n">
        <f aca="false">INDEX(Sprint_Metrics!$F$7:$F$16,RANDBETWEEN(1,ROWS(Sprint_Metrics!$F$7:$F$16)))</f>
        <v>11</v>
      </c>
      <c r="J117" s="29" t="n">
        <f aca="false">B117</f>
        <v>7</v>
      </c>
      <c r="K117" s="29" t="n">
        <f aca="false">J117+C117</f>
        <v>15</v>
      </c>
      <c r="L117" s="29" t="n">
        <f aca="false">K117+D117</f>
        <v>22</v>
      </c>
      <c r="M117" s="29" t="n">
        <f aca="false">L117+E117</f>
        <v>30</v>
      </c>
      <c r="N117" s="29" t="n">
        <f aca="false">M117+F117</f>
        <v>39</v>
      </c>
      <c r="O117" s="29" t="n">
        <f aca="false">N117+G117</f>
        <v>48</v>
      </c>
      <c r="P117" s="29" t="n">
        <f aca="false">O117+H117</f>
        <v>57</v>
      </c>
      <c r="Q117" s="29" t="n">
        <f aca="false">P117+I117</f>
        <v>68</v>
      </c>
    </row>
    <row r="118" customFormat="false" ht="15" hidden="false" customHeight="false" outlineLevel="0" collapsed="false">
      <c r="A118" s="29" t="n">
        <v>117</v>
      </c>
      <c r="B118" s="29" t="n">
        <f aca="false">INDEX(Sprint_Metrics!$F$7:$F$16,RANDBETWEEN(1,ROWS(Sprint_Metrics!$F$7:$F$16)))</f>
        <v>8</v>
      </c>
      <c r="C118" s="29" t="n">
        <f aca="false">INDEX(Sprint_Metrics!$F$7:$F$16,RANDBETWEEN(1,ROWS(Sprint_Metrics!$F$7:$F$16)))</f>
        <v>11</v>
      </c>
      <c r="D118" s="29" t="n">
        <f aca="false">INDEX(Sprint_Metrics!$F$7:$F$16,RANDBETWEEN(1,ROWS(Sprint_Metrics!$F$7:$F$16)))</f>
        <v>9</v>
      </c>
      <c r="E118" s="29" t="n">
        <f aca="false">INDEX(Sprint_Metrics!$F$7:$F$16,RANDBETWEEN(1,ROWS(Sprint_Metrics!$F$7:$F$16)))</f>
        <v>8</v>
      </c>
      <c r="F118" s="29" t="n">
        <f aca="false">INDEX(Sprint_Metrics!$F$7:$F$16,RANDBETWEEN(1,ROWS(Sprint_Metrics!$F$7:$F$16)))</f>
        <v>11</v>
      </c>
      <c r="G118" s="29" t="n">
        <f aca="false">INDEX(Sprint_Metrics!$F$7:$F$16,RANDBETWEEN(1,ROWS(Sprint_Metrics!$F$7:$F$16)))</f>
        <v>11</v>
      </c>
      <c r="H118" s="29" t="n">
        <f aca="false">INDEX(Sprint_Metrics!$F$7:$F$16,RANDBETWEEN(1,ROWS(Sprint_Metrics!$F$7:$F$16)))</f>
        <v>9</v>
      </c>
      <c r="I118" s="29" t="n">
        <f aca="false">INDEX(Sprint_Metrics!$F$7:$F$16,RANDBETWEEN(1,ROWS(Sprint_Metrics!$F$7:$F$16)))</f>
        <v>8</v>
      </c>
      <c r="J118" s="29" t="n">
        <f aca="false">B118</f>
        <v>8</v>
      </c>
      <c r="K118" s="29" t="n">
        <f aca="false">J118+C118</f>
        <v>19</v>
      </c>
      <c r="L118" s="29" t="n">
        <f aca="false">K118+D118</f>
        <v>28</v>
      </c>
      <c r="M118" s="29" t="n">
        <f aca="false">L118+E118</f>
        <v>36</v>
      </c>
      <c r="N118" s="29" t="n">
        <f aca="false">M118+F118</f>
        <v>47</v>
      </c>
      <c r="O118" s="29" t="n">
        <f aca="false">N118+G118</f>
        <v>58</v>
      </c>
      <c r="P118" s="29" t="n">
        <f aca="false">O118+H118</f>
        <v>67</v>
      </c>
      <c r="Q118" s="29" t="n">
        <f aca="false">P118+I118</f>
        <v>75</v>
      </c>
    </row>
    <row r="119" customFormat="false" ht="15" hidden="false" customHeight="false" outlineLevel="0" collapsed="false">
      <c r="A119" s="29" t="n">
        <v>118</v>
      </c>
      <c r="B119" s="29" t="n">
        <f aca="false">INDEX(Sprint_Metrics!$F$7:$F$16,RANDBETWEEN(1,ROWS(Sprint_Metrics!$F$7:$F$16)))</f>
        <v>11</v>
      </c>
      <c r="C119" s="29" t="n">
        <f aca="false">INDEX(Sprint_Metrics!$F$7:$F$16,RANDBETWEEN(1,ROWS(Sprint_Metrics!$F$7:$F$16)))</f>
        <v>9</v>
      </c>
      <c r="D119" s="29" t="n">
        <f aca="false">INDEX(Sprint_Metrics!$F$7:$F$16,RANDBETWEEN(1,ROWS(Sprint_Metrics!$F$7:$F$16)))</f>
        <v>9</v>
      </c>
      <c r="E119" s="29" t="n">
        <f aca="false">INDEX(Sprint_Metrics!$F$7:$F$16,RANDBETWEEN(1,ROWS(Sprint_Metrics!$F$7:$F$16)))</f>
        <v>12</v>
      </c>
      <c r="F119" s="29" t="n">
        <f aca="false">INDEX(Sprint_Metrics!$F$7:$F$16,RANDBETWEEN(1,ROWS(Sprint_Metrics!$F$7:$F$16)))</f>
        <v>9</v>
      </c>
      <c r="G119" s="29" t="n">
        <f aca="false">INDEX(Sprint_Metrics!$F$7:$F$16,RANDBETWEEN(1,ROWS(Sprint_Metrics!$F$7:$F$16)))</f>
        <v>11</v>
      </c>
      <c r="H119" s="29" t="n">
        <f aca="false">INDEX(Sprint_Metrics!$F$7:$F$16,RANDBETWEEN(1,ROWS(Sprint_Metrics!$F$7:$F$16)))</f>
        <v>9</v>
      </c>
      <c r="I119" s="29" t="n">
        <f aca="false">INDEX(Sprint_Metrics!$F$7:$F$16,RANDBETWEEN(1,ROWS(Sprint_Metrics!$F$7:$F$16)))</f>
        <v>8</v>
      </c>
      <c r="J119" s="29" t="n">
        <f aca="false">B119</f>
        <v>11</v>
      </c>
      <c r="K119" s="29" t="n">
        <f aca="false">J119+C119</f>
        <v>20</v>
      </c>
      <c r="L119" s="29" t="n">
        <f aca="false">K119+D119</f>
        <v>29</v>
      </c>
      <c r="M119" s="29" t="n">
        <f aca="false">L119+E119</f>
        <v>41</v>
      </c>
      <c r="N119" s="29" t="n">
        <f aca="false">M119+F119</f>
        <v>50</v>
      </c>
      <c r="O119" s="29" t="n">
        <f aca="false">N119+G119</f>
        <v>61</v>
      </c>
      <c r="P119" s="29" t="n">
        <f aca="false">O119+H119</f>
        <v>70</v>
      </c>
      <c r="Q119" s="29" t="n">
        <f aca="false">P119+I119</f>
        <v>78</v>
      </c>
    </row>
    <row r="120" customFormat="false" ht="15" hidden="false" customHeight="false" outlineLevel="0" collapsed="false">
      <c r="A120" s="29" t="n">
        <v>119</v>
      </c>
      <c r="B120" s="29" t="n">
        <f aca="false">INDEX(Sprint_Metrics!$F$7:$F$16,RANDBETWEEN(1,ROWS(Sprint_Metrics!$F$7:$F$16)))</f>
        <v>8</v>
      </c>
      <c r="C120" s="29" t="n">
        <f aca="false">INDEX(Sprint_Metrics!$F$7:$F$16,RANDBETWEEN(1,ROWS(Sprint_Metrics!$F$7:$F$16)))</f>
        <v>9</v>
      </c>
      <c r="D120" s="29" t="n">
        <f aca="false">INDEX(Sprint_Metrics!$F$7:$F$16,RANDBETWEEN(1,ROWS(Sprint_Metrics!$F$7:$F$16)))</f>
        <v>12</v>
      </c>
      <c r="E120" s="29" t="n">
        <f aca="false">INDEX(Sprint_Metrics!$F$7:$F$16,RANDBETWEEN(1,ROWS(Sprint_Metrics!$F$7:$F$16)))</f>
        <v>8</v>
      </c>
      <c r="F120" s="29" t="n">
        <f aca="false">INDEX(Sprint_Metrics!$F$7:$F$16,RANDBETWEEN(1,ROWS(Sprint_Metrics!$F$7:$F$16)))</f>
        <v>9</v>
      </c>
      <c r="G120" s="29" t="n">
        <f aca="false">INDEX(Sprint_Metrics!$F$7:$F$16,RANDBETWEEN(1,ROWS(Sprint_Metrics!$F$7:$F$16)))</f>
        <v>8</v>
      </c>
      <c r="H120" s="29" t="n">
        <f aca="false">INDEX(Sprint_Metrics!$F$7:$F$16,RANDBETWEEN(1,ROWS(Sprint_Metrics!$F$7:$F$16)))</f>
        <v>8</v>
      </c>
      <c r="I120" s="29" t="n">
        <f aca="false">INDEX(Sprint_Metrics!$F$7:$F$16,RANDBETWEEN(1,ROWS(Sprint_Metrics!$F$7:$F$16)))</f>
        <v>11</v>
      </c>
      <c r="J120" s="29" t="n">
        <f aca="false">B120</f>
        <v>8</v>
      </c>
      <c r="K120" s="29" t="n">
        <f aca="false">J120+C120</f>
        <v>17</v>
      </c>
      <c r="L120" s="29" t="n">
        <f aca="false">K120+D120</f>
        <v>29</v>
      </c>
      <c r="M120" s="29" t="n">
        <f aca="false">L120+E120</f>
        <v>37</v>
      </c>
      <c r="N120" s="29" t="n">
        <f aca="false">M120+F120</f>
        <v>46</v>
      </c>
      <c r="O120" s="29" t="n">
        <f aca="false">N120+G120</f>
        <v>54</v>
      </c>
      <c r="P120" s="29" t="n">
        <f aca="false">O120+H120</f>
        <v>62</v>
      </c>
      <c r="Q120" s="29" t="n">
        <f aca="false">P120+I120</f>
        <v>73</v>
      </c>
    </row>
    <row r="121" customFormat="false" ht="15" hidden="false" customHeight="false" outlineLevel="0" collapsed="false">
      <c r="A121" s="29" t="n">
        <v>120</v>
      </c>
      <c r="B121" s="29" t="n">
        <f aca="false">INDEX(Sprint_Metrics!$F$7:$F$16,RANDBETWEEN(1,ROWS(Sprint_Metrics!$F$7:$F$16)))</f>
        <v>11</v>
      </c>
      <c r="C121" s="29" t="n">
        <f aca="false">INDEX(Sprint_Metrics!$F$7:$F$16,RANDBETWEEN(1,ROWS(Sprint_Metrics!$F$7:$F$16)))</f>
        <v>8</v>
      </c>
      <c r="D121" s="29" t="n">
        <f aca="false">INDEX(Sprint_Metrics!$F$7:$F$16,RANDBETWEEN(1,ROWS(Sprint_Metrics!$F$7:$F$16)))</f>
        <v>8</v>
      </c>
      <c r="E121" s="29" t="n">
        <f aca="false">INDEX(Sprint_Metrics!$F$7:$F$16,RANDBETWEEN(1,ROWS(Sprint_Metrics!$F$7:$F$16)))</f>
        <v>8</v>
      </c>
      <c r="F121" s="29" t="n">
        <f aca="false">INDEX(Sprint_Metrics!$F$7:$F$16,RANDBETWEEN(1,ROWS(Sprint_Metrics!$F$7:$F$16)))</f>
        <v>9</v>
      </c>
      <c r="G121" s="29" t="n">
        <f aca="false">INDEX(Sprint_Metrics!$F$7:$F$16,RANDBETWEEN(1,ROWS(Sprint_Metrics!$F$7:$F$16)))</f>
        <v>7</v>
      </c>
      <c r="H121" s="29" t="n">
        <f aca="false">INDEX(Sprint_Metrics!$F$7:$F$16,RANDBETWEEN(1,ROWS(Sprint_Metrics!$F$7:$F$16)))</f>
        <v>9</v>
      </c>
      <c r="I121" s="29" t="n">
        <f aca="false">INDEX(Sprint_Metrics!$F$7:$F$16,RANDBETWEEN(1,ROWS(Sprint_Metrics!$F$7:$F$16)))</f>
        <v>8</v>
      </c>
      <c r="J121" s="29" t="n">
        <f aca="false">B121</f>
        <v>11</v>
      </c>
      <c r="K121" s="29" t="n">
        <f aca="false">J121+C121</f>
        <v>19</v>
      </c>
      <c r="L121" s="29" t="n">
        <f aca="false">K121+D121</f>
        <v>27</v>
      </c>
      <c r="M121" s="29" t="n">
        <f aca="false">L121+E121</f>
        <v>35</v>
      </c>
      <c r="N121" s="29" t="n">
        <f aca="false">M121+F121</f>
        <v>44</v>
      </c>
      <c r="O121" s="29" t="n">
        <f aca="false">N121+G121</f>
        <v>51</v>
      </c>
      <c r="P121" s="29" t="n">
        <f aca="false">O121+H121</f>
        <v>60</v>
      </c>
      <c r="Q121" s="29" t="n">
        <f aca="false">P121+I121</f>
        <v>68</v>
      </c>
    </row>
    <row r="122" customFormat="false" ht="15" hidden="false" customHeight="false" outlineLevel="0" collapsed="false">
      <c r="A122" s="29" t="n">
        <v>121</v>
      </c>
      <c r="B122" s="29" t="n">
        <f aca="false">INDEX(Sprint_Metrics!$F$7:$F$16,RANDBETWEEN(1,ROWS(Sprint_Metrics!$F$7:$F$16)))</f>
        <v>7</v>
      </c>
      <c r="C122" s="29" t="n">
        <f aca="false">INDEX(Sprint_Metrics!$F$7:$F$16,RANDBETWEEN(1,ROWS(Sprint_Metrics!$F$7:$F$16)))</f>
        <v>9</v>
      </c>
      <c r="D122" s="29" t="n">
        <f aca="false">INDEX(Sprint_Metrics!$F$7:$F$16,RANDBETWEEN(1,ROWS(Sprint_Metrics!$F$7:$F$16)))</f>
        <v>12</v>
      </c>
      <c r="E122" s="29" t="n">
        <f aca="false">INDEX(Sprint_Metrics!$F$7:$F$16,RANDBETWEEN(1,ROWS(Sprint_Metrics!$F$7:$F$16)))</f>
        <v>8</v>
      </c>
      <c r="F122" s="29" t="n">
        <f aca="false">INDEX(Sprint_Metrics!$F$7:$F$16,RANDBETWEEN(1,ROWS(Sprint_Metrics!$F$7:$F$16)))</f>
        <v>11</v>
      </c>
      <c r="G122" s="29" t="n">
        <f aca="false">INDEX(Sprint_Metrics!$F$7:$F$16,RANDBETWEEN(1,ROWS(Sprint_Metrics!$F$7:$F$16)))</f>
        <v>8</v>
      </c>
      <c r="H122" s="29" t="n">
        <f aca="false">INDEX(Sprint_Metrics!$F$7:$F$16,RANDBETWEEN(1,ROWS(Sprint_Metrics!$F$7:$F$16)))</f>
        <v>11</v>
      </c>
      <c r="I122" s="29" t="n">
        <f aca="false">INDEX(Sprint_Metrics!$F$7:$F$16,RANDBETWEEN(1,ROWS(Sprint_Metrics!$F$7:$F$16)))</f>
        <v>11</v>
      </c>
      <c r="J122" s="29" t="n">
        <f aca="false">B122</f>
        <v>7</v>
      </c>
      <c r="K122" s="29" t="n">
        <f aca="false">J122+C122</f>
        <v>16</v>
      </c>
      <c r="L122" s="29" t="n">
        <f aca="false">K122+D122</f>
        <v>28</v>
      </c>
      <c r="M122" s="29" t="n">
        <f aca="false">L122+E122</f>
        <v>36</v>
      </c>
      <c r="N122" s="29" t="n">
        <f aca="false">M122+F122</f>
        <v>47</v>
      </c>
      <c r="O122" s="29" t="n">
        <f aca="false">N122+G122</f>
        <v>55</v>
      </c>
      <c r="P122" s="29" t="n">
        <f aca="false">O122+H122</f>
        <v>66</v>
      </c>
      <c r="Q122" s="29" t="n">
        <f aca="false">P122+I122</f>
        <v>77</v>
      </c>
    </row>
    <row r="123" customFormat="false" ht="15" hidden="false" customHeight="false" outlineLevel="0" collapsed="false">
      <c r="A123" s="29" t="n">
        <v>122</v>
      </c>
      <c r="B123" s="29" t="n">
        <f aca="false">INDEX(Sprint_Metrics!$F$7:$F$16,RANDBETWEEN(1,ROWS(Sprint_Metrics!$F$7:$F$16)))</f>
        <v>11</v>
      </c>
      <c r="C123" s="29" t="n">
        <f aca="false">INDEX(Sprint_Metrics!$F$7:$F$16,RANDBETWEEN(1,ROWS(Sprint_Metrics!$F$7:$F$16)))</f>
        <v>11</v>
      </c>
      <c r="D123" s="29" t="n">
        <f aca="false">INDEX(Sprint_Metrics!$F$7:$F$16,RANDBETWEEN(1,ROWS(Sprint_Metrics!$F$7:$F$16)))</f>
        <v>8</v>
      </c>
      <c r="E123" s="29" t="n">
        <f aca="false">INDEX(Sprint_Metrics!$F$7:$F$16,RANDBETWEEN(1,ROWS(Sprint_Metrics!$F$7:$F$16)))</f>
        <v>11</v>
      </c>
      <c r="F123" s="29" t="n">
        <f aca="false">INDEX(Sprint_Metrics!$F$7:$F$16,RANDBETWEEN(1,ROWS(Sprint_Metrics!$F$7:$F$16)))</f>
        <v>8</v>
      </c>
      <c r="G123" s="29" t="n">
        <f aca="false">INDEX(Sprint_Metrics!$F$7:$F$16,RANDBETWEEN(1,ROWS(Sprint_Metrics!$F$7:$F$16)))</f>
        <v>11</v>
      </c>
      <c r="H123" s="29" t="n">
        <f aca="false">INDEX(Sprint_Metrics!$F$7:$F$16,RANDBETWEEN(1,ROWS(Sprint_Metrics!$F$7:$F$16)))</f>
        <v>11</v>
      </c>
      <c r="I123" s="29" t="n">
        <f aca="false">INDEX(Sprint_Metrics!$F$7:$F$16,RANDBETWEEN(1,ROWS(Sprint_Metrics!$F$7:$F$16)))</f>
        <v>7</v>
      </c>
      <c r="J123" s="29" t="n">
        <f aca="false">B123</f>
        <v>11</v>
      </c>
      <c r="K123" s="29" t="n">
        <f aca="false">J123+C123</f>
        <v>22</v>
      </c>
      <c r="L123" s="29" t="n">
        <f aca="false">K123+D123</f>
        <v>30</v>
      </c>
      <c r="M123" s="29" t="n">
        <f aca="false">L123+E123</f>
        <v>41</v>
      </c>
      <c r="N123" s="29" t="n">
        <f aca="false">M123+F123</f>
        <v>49</v>
      </c>
      <c r="O123" s="29" t="n">
        <f aca="false">N123+G123</f>
        <v>60</v>
      </c>
      <c r="P123" s="29" t="n">
        <f aca="false">O123+H123</f>
        <v>71</v>
      </c>
      <c r="Q123" s="29" t="n">
        <f aca="false">P123+I123</f>
        <v>78</v>
      </c>
    </row>
    <row r="124" customFormat="false" ht="15" hidden="false" customHeight="false" outlineLevel="0" collapsed="false">
      <c r="A124" s="29" t="n">
        <v>123</v>
      </c>
      <c r="B124" s="29" t="n">
        <f aca="false">INDEX(Sprint_Metrics!$F$7:$F$16,RANDBETWEEN(1,ROWS(Sprint_Metrics!$F$7:$F$16)))</f>
        <v>11</v>
      </c>
      <c r="C124" s="29" t="n">
        <f aca="false">INDEX(Sprint_Metrics!$F$7:$F$16,RANDBETWEEN(1,ROWS(Sprint_Metrics!$F$7:$F$16)))</f>
        <v>8</v>
      </c>
      <c r="D124" s="29" t="n">
        <f aca="false">INDEX(Sprint_Metrics!$F$7:$F$16,RANDBETWEEN(1,ROWS(Sprint_Metrics!$F$7:$F$16)))</f>
        <v>9</v>
      </c>
      <c r="E124" s="29" t="n">
        <f aca="false">INDEX(Sprint_Metrics!$F$7:$F$16,RANDBETWEEN(1,ROWS(Sprint_Metrics!$F$7:$F$16)))</f>
        <v>11</v>
      </c>
      <c r="F124" s="29" t="n">
        <f aca="false">INDEX(Sprint_Metrics!$F$7:$F$16,RANDBETWEEN(1,ROWS(Sprint_Metrics!$F$7:$F$16)))</f>
        <v>9</v>
      </c>
      <c r="G124" s="29" t="n">
        <f aca="false">INDEX(Sprint_Metrics!$F$7:$F$16,RANDBETWEEN(1,ROWS(Sprint_Metrics!$F$7:$F$16)))</f>
        <v>8</v>
      </c>
      <c r="H124" s="29" t="n">
        <f aca="false">INDEX(Sprint_Metrics!$F$7:$F$16,RANDBETWEEN(1,ROWS(Sprint_Metrics!$F$7:$F$16)))</f>
        <v>8</v>
      </c>
      <c r="I124" s="29" t="n">
        <f aca="false">INDEX(Sprint_Metrics!$F$7:$F$16,RANDBETWEEN(1,ROWS(Sprint_Metrics!$F$7:$F$16)))</f>
        <v>7</v>
      </c>
      <c r="J124" s="29" t="n">
        <f aca="false">B124</f>
        <v>11</v>
      </c>
      <c r="K124" s="29" t="n">
        <f aca="false">J124+C124</f>
        <v>19</v>
      </c>
      <c r="L124" s="29" t="n">
        <f aca="false">K124+D124</f>
        <v>28</v>
      </c>
      <c r="M124" s="29" t="n">
        <f aca="false">L124+E124</f>
        <v>39</v>
      </c>
      <c r="N124" s="29" t="n">
        <f aca="false">M124+F124</f>
        <v>48</v>
      </c>
      <c r="O124" s="29" t="n">
        <f aca="false">N124+G124</f>
        <v>56</v>
      </c>
      <c r="P124" s="29" t="n">
        <f aca="false">O124+H124</f>
        <v>64</v>
      </c>
      <c r="Q124" s="29" t="n">
        <f aca="false">P124+I124</f>
        <v>71</v>
      </c>
    </row>
    <row r="125" customFormat="false" ht="15" hidden="false" customHeight="false" outlineLevel="0" collapsed="false">
      <c r="A125" s="29" t="n">
        <v>124</v>
      </c>
      <c r="B125" s="29" t="n">
        <f aca="false">INDEX(Sprint_Metrics!$F$7:$F$16,RANDBETWEEN(1,ROWS(Sprint_Metrics!$F$7:$F$16)))</f>
        <v>7</v>
      </c>
      <c r="C125" s="29" t="n">
        <f aca="false">INDEX(Sprint_Metrics!$F$7:$F$16,RANDBETWEEN(1,ROWS(Sprint_Metrics!$F$7:$F$16)))</f>
        <v>8</v>
      </c>
      <c r="D125" s="29" t="n">
        <f aca="false">INDEX(Sprint_Metrics!$F$7:$F$16,RANDBETWEEN(1,ROWS(Sprint_Metrics!$F$7:$F$16)))</f>
        <v>7</v>
      </c>
      <c r="E125" s="29" t="n">
        <f aca="false">INDEX(Sprint_Metrics!$F$7:$F$16,RANDBETWEEN(1,ROWS(Sprint_Metrics!$F$7:$F$16)))</f>
        <v>7</v>
      </c>
      <c r="F125" s="29" t="n">
        <f aca="false">INDEX(Sprint_Metrics!$F$7:$F$16,RANDBETWEEN(1,ROWS(Sprint_Metrics!$F$7:$F$16)))</f>
        <v>11</v>
      </c>
      <c r="G125" s="29" t="n">
        <f aca="false">INDEX(Sprint_Metrics!$F$7:$F$16,RANDBETWEEN(1,ROWS(Sprint_Metrics!$F$7:$F$16)))</f>
        <v>8</v>
      </c>
      <c r="H125" s="29" t="n">
        <f aca="false">INDEX(Sprint_Metrics!$F$7:$F$16,RANDBETWEEN(1,ROWS(Sprint_Metrics!$F$7:$F$16)))</f>
        <v>7</v>
      </c>
      <c r="I125" s="29" t="n">
        <f aca="false">INDEX(Sprint_Metrics!$F$7:$F$16,RANDBETWEEN(1,ROWS(Sprint_Metrics!$F$7:$F$16)))</f>
        <v>12</v>
      </c>
      <c r="J125" s="29" t="n">
        <f aca="false">B125</f>
        <v>7</v>
      </c>
      <c r="K125" s="29" t="n">
        <f aca="false">J125+C125</f>
        <v>15</v>
      </c>
      <c r="L125" s="29" t="n">
        <f aca="false">K125+D125</f>
        <v>22</v>
      </c>
      <c r="M125" s="29" t="n">
        <f aca="false">L125+E125</f>
        <v>29</v>
      </c>
      <c r="N125" s="29" t="n">
        <f aca="false">M125+F125</f>
        <v>40</v>
      </c>
      <c r="O125" s="29" t="n">
        <f aca="false">N125+G125</f>
        <v>48</v>
      </c>
      <c r="P125" s="29" t="n">
        <f aca="false">O125+H125</f>
        <v>55</v>
      </c>
      <c r="Q125" s="29" t="n">
        <f aca="false">P125+I125</f>
        <v>67</v>
      </c>
    </row>
    <row r="126" customFormat="false" ht="15" hidden="false" customHeight="false" outlineLevel="0" collapsed="false">
      <c r="A126" s="29" t="n">
        <v>125</v>
      </c>
      <c r="B126" s="29" t="n">
        <f aca="false">INDEX(Sprint_Metrics!$F$7:$F$16,RANDBETWEEN(1,ROWS(Sprint_Metrics!$F$7:$F$16)))</f>
        <v>8</v>
      </c>
      <c r="C126" s="29" t="n">
        <f aca="false">INDEX(Sprint_Metrics!$F$7:$F$16,RANDBETWEEN(1,ROWS(Sprint_Metrics!$F$7:$F$16)))</f>
        <v>7</v>
      </c>
      <c r="D126" s="29" t="n">
        <f aca="false">INDEX(Sprint_Metrics!$F$7:$F$16,RANDBETWEEN(1,ROWS(Sprint_Metrics!$F$7:$F$16)))</f>
        <v>8</v>
      </c>
      <c r="E126" s="29" t="n">
        <f aca="false">INDEX(Sprint_Metrics!$F$7:$F$16,RANDBETWEEN(1,ROWS(Sprint_Metrics!$F$7:$F$16)))</f>
        <v>8</v>
      </c>
      <c r="F126" s="29" t="n">
        <f aca="false">INDEX(Sprint_Metrics!$F$7:$F$16,RANDBETWEEN(1,ROWS(Sprint_Metrics!$F$7:$F$16)))</f>
        <v>8</v>
      </c>
      <c r="G126" s="29" t="n">
        <f aca="false">INDEX(Sprint_Metrics!$F$7:$F$16,RANDBETWEEN(1,ROWS(Sprint_Metrics!$F$7:$F$16)))</f>
        <v>8</v>
      </c>
      <c r="H126" s="29" t="n">
        <f aca="false">INDEX(Sprint_Metrics!$F$7:$F$16,RANDBETWEEN(1,ROWS(Sprint_Metrics!$F$7:$F$16)))</f>
        <v>8</v>
      </c>
      <c r="I126" s="29" t="n">
        <f aca="false">INDEX(Sprint_Metrics!$F$7:$F$16,RANDBETWEEN(1,ROWS(Sprint_Metrics!$F$7:$F$16)))</f>
        <v>9</v>
      </c>
      <c r="J126" s="29" t="n">
        <f aca="false">B126</f>
        <v>8</v>
      </c>
      <c r="K126" s="29" t="n">
        <f aca="false">J126+C126</f>
        <v>15</v>
      </c>
      <c r="L126" s="29" t="n">
        <f aca="false">K126+D126</f>
        <v>23</v>
      </c>
      <c r="M126" s="29" t="n">
        <f aca="false">L126+E126</f>
        <v>31</v>
      </c>
      <c r="N126" s="29" t="n">
        <f aca="false">M126+F126</f>
        <v>39</v>
      </c>
      <c r="O126" s="29" t="n">
        <f aca="false">N126+G126</f>
        <v>47</v>
      </c>
      <c r="P126" s="29" t="n">
        <f aca="false">O126+H126</f>
        <v>55</v>
      </c>
      <c r="Q126" s="29" t="n">
        <f aca="false">P126+I126</f>
        <v>64</v>
      </c>
    </row>
    <row r="127" customFormat="false" ht="15" hidden="false" customHeight="false" outlineLevel="0" collapsed="false">
      <c r="A127" s="29" t="n">
        <v>126</v>
      </c>
      <c r="B127" s="29" t="n">
        <f aca="false">INDEX(Sprint_Metrics!$F$7:$F$16,RANDBETWEEN(1,ROWS(Sprint_Metrics!$F$7:$F$16)))</f>
        <v>7</v>
      </c>
      <c r="C127" s="29" t="n">
        <f aca="false">INDEX(Sprint_Metrics!$F$7:$F$16,RANDBETWEEN(1,ROWS(Sprint_Metrics!$F$7:$F$16)))</f>
        <v>9</v>
      </c>
      <c r="D127" s="29" t="n">
        <f aca="false">INDEX(Sprint_Metrics!$F$7:$F$16,RANDBETWEEN(1,ROWS(Sprint_Metrics!$F$7:$F$16)))</f>
        <v>11</v>
      </c>
      <c r="E127" s="29" t="n">
        <f aca="false">INDEX(Sprint_Metrics!$F$7:$F$16,RANDBETWEEN(1,ROWS(Sprint_Metrics!$F$7:$F$16)))</f>
        <v>8</v>
      </c>
      <c r="F127" s="29" t="n">
        <f aca="false">INDEX(Sprint_Metrics!$F$7:$F$16,RANDBETWEEN(1,ROWS(Sprint_Metrics!$F$7:$F$16)))</f>
        <v>8</v>
      </c>
      <c r="G127" s="29" t="n">
        <f aca="false">INDEX(Sprint_Metrics!$F$7:$F$16,RANDBETWEEN(1,ROWS(Sprint_Metrics!$F$7:$F$16)))</f>
        <v>8</v>
      </c>
      <c r="H127" s="29" t="n">
        <f aca="false">INDEX(Sprint_Metrics!$F$7:$F$16,RANDBETWEEN(1,ROWS(Sprint_Metrics!$F$7:$F$16)))</f>
        <v>12</v>
      </c>
      <c r="I127" s="29" t="n">
        <f aca="false">INDEX(Sprint_Metrics!$F$7:$F$16,RANDBETWEEN(1,ROWS(Sprint_Metrics!$F$7:$F$16)))</f>
        <v>12</v>
      </c>
      <c r="J127" s="29" t="n">
        <f aca="false">B127</f>
        <v>7</v>
      </c>
      <c r="K127" s="29" t="n">
        <f aca="false">J127+C127</f>
        <v>16</v>
      </c>
      <c r="L127" s="29" t="n">
        <f aca="false">K127+D127</f>
        <v>27</v>
      </c>
      <c r="M127" s="29" t="n">
        <f aca="false">L127+E127</f>
        <v>35</v>
      </c>
      <c r="N127" s="29" t="n">
        <f aca="false">M127+F127</f>
        <v>43</v>
      </c>
      <c r="O127" s="29" t="n">
        <f aca="false">N127+G127</f>
        <v>51</v>
      </c>
      <c r="P127" s="29" t="n">
        <f aca="false">O127+H127</f>
        <v>63</v>
      </c>
      <c r="Q127" s="29" t="n">
        <f aca="false">P127+I127</f>
        <v>75</v>
      </c>
    </row>
    <row r="128" customFormat="false" ht="15" hidden="false" customHeight="false" outlineLevel="0" collapsed="false">
      <c r="A128" s="29" t="n">
        <v>127</v>
      </c>
      <c r="B128" s="29" t="n">
        <f aca="false">INDEX(Sprint_Metrics!$F$7:$F$16,RANDBETWEEN(1,ROWS(Sprint_Metrics!$F$7:$F$16)))</f>
        <v>9</v>
      </c>
      <c r="C128" s="29" t="n">
        <f aca="false">INDEX(Sprint_Metrics!$F$7:$F$16,RANDBETWEEN(1,ROWS(Sprint_Metrics!$F$7:$F$16)))</f>
        <v>9</v>
      </c>
      <c r="D128" s="29" t="n">
        <f aca="false">INDEX(Sprint_Metrics!$F$7:$F$16,RANDBETWEEN(1,ROWS(Sprint_Metrics!$F$7:$F$16)))</f>
        <v>7</v>
      </c>
      <c r="E128" s="29" t="n">
        <f aca="false">INDEX(Sprint_Metrics!$F$7:$F$16,RANDBETWEEN(1,ROWS(Sprint_Metrics!$F$7:$F$16)))</f>
        <v>8</v>
      </c>
      <c r="F128" s="29" t="n">
        <f aca="false">INDEX(Sprint_Metrics!$F$7:$F$16,RANDBETWEEN(1,ROWS(Sprint_Metrics!$F$7:$F$16)))</f>
        <v>12</v>
      </c>
      <c r="G128" s="29" t="n">
        <f aca="false">INDEX(Sprint_Metrics!$F$7:$F$16,RANDBETWEEN(1,ROWS(Sprint_Metrics!$F$7:$F$16)))</f>
        <v>9</v>
      </c>
      <c r="H128" s="29" t="n">
        <f aca="false">INDEX(Sprint_Metrics!$F$7:$F$16,RANDBETWEEN(1,ROWS(Sprint_Metrics!$F$7:$F$16)))</f>
        <v>9</v>
      </c>
      <c r="I128" s="29" t="n">
        <f aca="false">INDEX(Sprint_Metrics!$F$7:$F$16,RANDBETWEEN(1,ROWS(Sprint_Metrics!$F$7:$F$16)))</f>
        <v>12</v>
      </c>
      <c r="J128" s="29" t="n">
        <f aca="false">B128</f>
        <v>9</v>
      </c>
      <c r="K128" s="29" t="n">
        <f aca="false">J128+C128</f>
        <v>18</v>
      </c>
      <c r="L128" s="29" t="n">
        <f aca="false">K128+D128</f>
        <v>25</v>
      </c>
      <c r="M128" s="29" t="n">
        <f aca="false">L128+E128</f>
        <v>33</v>
      </c>
      <c r="N128" s="29" t="n">
        <f aca="false">M128+F128</f>
        <v>45</v>
      </c>
      <c r="O128" s="29" t="n">
        <f aca="false">N128+G128</f>
        <v>54</v>
      </c>
      <c r="P128" s="29" t="n">
        <f aca="false">O128+H128</f>
        <v>63</v>
      </c>
      <c r="Q128" s="29" t="n">
        <f aca="false">P128+I128</f>
        <v>75</v>
      </c>
    </row>
    <row r="129" customFormat="false" ht="15" hidden="false" customHeight="false" outlineLevel="0" collapsed="false">
      <c r="A129" s="29" t="n">
        <v>128</v>
      </c>
      <c r="B129" s="29" t="n">
        <f aca="false">INDEX(Sprint_Metrics!$F$7:$F$16,RANDBETWEEN(1,ROWS(Sprint_Metrics!$F$7:$F$16)))</f>
        <v>9</v>
      </c>
      <c r="C129" s="29" t="n">
        <f aca="false">INDEX(Sprint_Metrics!$F$7:$F$16,RANDBETWEEN(1,ROWS(Sprint_Metrics!$F$7:$F$16)))</f>
        <v>7</v>
      </c>
      <c r="D129" s="29" t="n">
        <f aca="false">INDEX(Sprint_Metrics!$F$7:$F$16,RANDBETWEEN(1,ROWS(Sprint_Metrics!$F$7:$F$16)))</f>
        <v>8</v>
      </c>
      <c r="E129" s="29" t="n">
        <f aca="false">INDEX(Sprint_Metrics!$F$7:$F$16,RANDBETWEEN(1,ROWS(Sprint_Metrics!$F$7:$F$16)))</f>
        <v>9</v>
      </c>
      <c r="F129" s="29" t="n">
        <f aca="false">INDEX(Sprint_Metrics!$F$7:$F$16,RANDBETWEEN(1,ROWS(Sprint_Metrics!$F$7:$F$16)))</f>
        <v>8</v>
      </c>
      <c r="G129" s="29" t="n">
        <f aca="false">INDEX(Sprint_Metrics!$F$7:$F$16,RANDBETWEEN(1,ROWS(Sprint_Metrics!$F$7:$F$16)))</f>
        <v>8</v>
      </c>
      <c r="H129" s="29" t="n">
        <f aca="false">INDEX(Sprint_Metrics!$F$7:$F$16,RANDBETWEEN(1,ROWS(Sprint_Metrics!$F$7:$F$16)))</f>
        <v>8</v>
      </c>
      <c r="I129" s="29" t="n">
        <f aca="false">INDEX(Sprint_Metrics!$F$7:$F$16,RANDBETWEEN(1,ROWS(Sprint_Metrics!$F$7:$F$16)))</f>
        <v>7</v>
      </c>
      <c r="J129" s="29" t="n">
        <f aca="false">B129</f>
        <v>9</v>
      </c>
      <c r="K129" s="29" t="n">
        <f aca="false">J129+C129</f>
        <v>16</v>
      </c>
      <c r="L129" s="29" t="n">
        <f aca="false">K129+D129</f>
        <v>24</v>
      </c>
      <c r="M129" s="29" t="n">
        <f aca="false">L129+E129</f>
        <v>33</v>
      </c>
      <c r="N129" s="29" t="n">
        <f aca="false">M129+F129</f>
        <v>41</v>
      </c>
      <c r="O129" s="29" t="n">
        <f aca="false">N129+G129</f>
        <v>49</v>
      </c>
      <c r="P129" s="29" t="n">
        <f aca="false">O129+H129</f>
        <v>57</v>
      </c>
      <c r="Q129" s="29" t="n">
        <f aca="false">P129+I129</f>
        <v>64</v>
      </c>
    </row>
    <row r="130" customFormat="false" ht="15" hidden="false" customHeight="false" outlineLevel="0" collapsed="false">
      <c r="A130" s="29" t="n">
        <v>129</v>
      </c>
      <c r="B130" s="29" t="n">
        <f aca="false">INDEX(Sprint_Metrics!$F$7:$F$16,RANDBETWEEN(1,ROWS(Sprint_Metrics!$F$7:$F$16)))</f>
        <v>7</v>
      </c>
      <c r="C130" s="29" t="n">
        <f aca="false">INDEX(Sprint_Metrics!$F$7:$F$16,RANDBETWEEN(1,ROWS(Sprint_Metrics!$F$7:$F$16)))</f>
        <v>9</v>
      </c>
      <c r="D130" s="29" t="n">
        <f aca="false">INDEX(Sprint_Metrics!$F$7:$F$16,RANDBETWEEN(1,ROWS(Sprint_Metrics!$F$7:$F$16)))</f>
        <v>11</v>
      </c>
      <c r="E130" s="29" t="n">
        <f aca="false">INDEX(Sprint_Metrics!$F$7:$F$16,RANDBETWEEN(1,ROWS(Sprint_Metrics!$F$7:$F$16)))</f>
        <v>12</v>
      </c>
      <c r="F130" s="29" t="n">
        <f aca="false">INDEX(Sprint_Metrics!$F$7:$F$16,RANDBETWEEN(1,ROWS(Sprint_Metrics!$F$7:$F$16)))</f>
        <v>8</v>
      </c>
      <c r="G130" s="29" t="n">
        <f aca="false">INDEX(Sprint_Metrics!$F$7:$F$16,RANDBETWEEN(1,ROWS(Sprint_Metrics!$F$7:$F$16)))</f>
        <v>7</v>
      </c>
      <c r="H130" s="29" t="n">
        <f aca="false">INDEX(Sprint_Metrics!$F$7:$F$16,RANDBETWEEN(1,ROWS(Sprint_Metrics!$F$7:$F$16)))</f>
        <v>12</v>
      </c>
      <c r="I130" s="29" t="n">
        <f aca="false">INDEX(Sprint_Metrics!$F$7:$F$16,RANDBETWEEN(1,ROWS(Sprint_Metrics!$F$7:$F$16)))</f>
        <v>9</v>
      </c>
      <c r="J130" s="29" t="n">
        <f aca="false">B130</f>
        <v>7</v>
      </c>
      <c r="K130" s="29" t="n">
        <f aca="false">J130+C130</f>
        <v>16</v>
      </c>
      <c r="L130" s="29" t="n">
        <f aca="false">K130+D130</f>
        <v>27</v>
      </c>
      <c r="M130" s="29" t="n">
        <f aca="false">L130+E130</f>
        <v>39</v>
      </c>
      <c r="N130" s="29" t="n">
        <f aca="false">M130+F130</f>
        <v>47</v>
      </c>
      <c r="O130" s="29" t="n">
        <f aca="false">N130+G130</f>
        <v>54</v>
      </c>
      <c r="P130" s="29" t="n">
        <f aca="false">O130+H130</f>
        <v>66</v>
      </c>
      <c r="Q130" s="29" t="n">
        <f aca="false">P130+I130</f>
        <v>75</v>
      </c>
    </row>
    <row r="131" customFormat="false" ht="15" hidden="false" customHeight="false" outlineLevel="0" collapsed="false">
      <c r="A131" s="29" t="n">
        <v>130</v>
      </c>
      <c r="B131" s="29" t="n">
        <f aca="false">INDEX(Sprint_Metrics!$F$7:$F$16,RANDBETWEEN(1,ROWS(Sprint_Metrics!$F$7:$F$16)))</f>
        <v>12</v>
      </c>
      <c r="C131" s="29" t="n">
        <f aca="false">INDEX(Sprint_Metrics!$F$7:$F$16,RANDBETWEEN(1,ROWS(Sprint_Metrics!$F$7:$F$16)))</f>
        <v>9</v>
      </c>
      <c r="D131" s="29" t="n">
        <f aca="false">INDEX(Sprint_Metrics!$F$7:$F$16,RANDBETWEEN(1,ROWS(Sprint_Metrics!$F$7:$F$16)))</f>
        <v>7</v>
      </c>
      <c r="E131" s="29" t="n">
        <f aca="false">INDEX(Sprint_Metrics!$F$7:$F$16,RANDBETWEEN(1,ROWS(Sprint_Metrics!$F$7:$F$16)))</f>
        <v>9</v>
      </c>
      <c r="F131" s="29" t="n">
        <f aca="false">INDEX(Sprint_Metrics!$F$7:$F$16,RANDBETWEEN(1,ROWS(Sprint_Metrics!$F$7:$F$16)))</f>
        <v>8</v>
      </c>
      <c r="G131" s="29" t="n">
        <f aca="false">INDEX(Sprint_Metrics!$F$7:$F$16,RANDBETWEEN(1,ROWS(Sprint_Metrics!$F$7:$F$16)))</f>
        <v>11</v>
      </c>
      <c r="H131" s="29" t="n">
        <f aca="false">INDEX(Sprint_Metrics!$F$7:$F$16,RANDBETWEEN(1,ROWS(Sprint_Metrics!$F$7:$F$16)))</f>
        <v>8</v>
      </c>
      <c r="I131" s="29" t="n">
        <f aca="false">INDEX(Sprint_Metrics!$F$7:$F$16,RANDBETWEEN(1,ROWS(Sprint_Metrics!$F$7:$F$16)))</f>
        <v>11</v>
      </c>
      <c r="J131" s="29" t="n">
        <f aca="false">B131</f>
        <v>12</v>
      </c>
      <c r="K131" s="29" t="n">
        <f aca="false">J131+C131</f>
        <v>21</v>
      </c>
      <c r="L131" s="29" t="n">
        <f aca="false">K131+D131</f>
        <v>28</v>
      </c>
      <c r="M131" s="29" t="n">
        <f aca="false">L131+E131</f>
        <v>37</v>
      </c>
      <c r="N131" s="29" t="n">
        <f aca="false">M131+F131</f>
        <v>45</v>
      </c>
      <c r="O131" s="29" t="n">
        <f aca="false">N131+G131</f>
        <v>56</v>
      </c>
      <c r="P131" s="29" t="n">
        <f aca="false">O131+H131</f>
        <v>64</v>
      </c>
      <c r="Q131" s="29" t="n">
        <f aca="false">P131+I131</f>
        <v>75</v>
      </c>
    </row>
    <row r="132" customFormat="false" ht="15" hidden="false" customHeight="false" outlineLevel="0" collapsed="false">
      <c r="A132" s="29" t="n">
        <v>131</v>
      </c>
      <c r="B132" s="29" t="n">
        <f aca="false">INDEX(Sprint_Metrics!$F$7:$F$16,RANDBETWEEN(1,ROWS(Sprint_Metrics!$F$7:$F$16)))</f>
        <v>9</v>
      </c>
      <c r="C132" s="29" t="n">
        <f aca="false">INDEX(Sprint_Metrics!$F$7:$F$16,RANDBETWEEN(1,ROWS(Sprint_Metrics!$F$7:$F$16)))</f>
        <v>7</v>
      </c>
      <c r="D132" s="29" t="n">
        <f aca="false">INDEX(Sprint_Metrics!$F$7:$F$16,RANDBETWEEN(1,ROWS(Sprint_Metrics!$F$7:$F$16)))</f>
        <v>7</v>
      </c>
      <c r="E132" s="29" t="n">
        <f aca="false">INDEX(Sprint_Metrics!$F$7:$F$16,RANDBETWEEN(1,ROWS(Sprint_Metrics!$F$7:$F$16)))</f>
        <v>9</v>
      </c>
      <c r="F132" s="29" t="n">
        <f aca="false">INDEX(Sprint_Metrics!$F$7:$F$16,RANDBETWEEN(1,ROWS(Sprint_Metrics!$F$7:$F$16)))</f>
        <v>7</v>
      </c>
      <c r="G132" s="29" t="n">
        <f aca="false">INDEX(Sprint_Metrics!$F$7:$F$16,RANDBETWEEN(1,ROWS(Sprint_Metrics!$F$7:$F$16)))</f>
        <v>8</v>
      </c>
      <c r="H132" s="29" t="n">
        <f aca="false">INDEX(Sprint_Metrics!$F$7:$F$16,RANDBETWEEN(1,ROWS(Sprint_Metrics!$F$7:$F$16)))</f>
        <v>7</v>
      </c>
      <c r="I132" s="29" t="n">
        <f aca="false">INDEX(Sprint_Metrics!$F$7:$F$16,RANDBETWEEN(1,ROWS(Sprint_Metrics!$F$7:$F$16)))</f>
        <v>8</v>
      </c>
      <c r="J132" s="29" t="n">
        <f aca="false">B132</f>
        <v>9</v>
      </c>
      <c r="K132" s="29" t="n">
        <f aca="false">J132+C132</f>
        <v>16</v>
      </c>
      <c r="L132" s="29" t="n">
        <f aca="false">K132+D132</f>
        <v>23</v>
      </c>
      <c r="M132" s="29" t="n">
        <f aca="false">L132+E132</f>
        <v>32</v>
      </c>
      <c r="N132" s="29" t="n">
        <f aca="false">M132+F132</f>
        <v>39</v>
      </c>
      <c r="O132" s="29" t="n">
        <f aca="false">N132+G132</f>
        <v>47</v>
      </c>
      <c r="P132" s="29" t="n">
        <f aca="false">O132+H132</f>
        <v>54</v>
      </c>
      <c r="Q132" s="29" t="n">
        <f aca="false">P132+I132</f>
        <v>62</v>
      </c>
    </row>
    <row r="133" customFormat="false" ht="15" hidden="false" customHeight="false" outlineLevel="0" collapsed="false">
      <c r="A133" s="29" t="n">
        <v>132</v>
      </c>
      <c r="B133" s="29" t="n">
        <f aca="false">INDEX(Sprint_Metrics!$F$7:$F$16,RANDBETWEEN(1,ROWS(Sprint_Metrics!$F$7:$F$16)))</f>
        <v>11</v>
      </c>
      <c r="C133" s="29" t="n">
        <f aca="false">INDEX(Sprint_Metrics!$F$7:$F$16,RANDBETWEEN(1,ROWS(Sprint_Metrics!$F$7:$F$16)))</f>
        <v>11</v>
      </c>
      <c r="D133" s="29" t="n">
        <f aca="false">INDEX(Sprint_Metrics!$F$7:$F$16,RANDBETWEEN(1,ROWS(Sprint_Metrics!$F$7:$F$16)))</f>
        <v>11</v>
      </c>
      <c r="E133" s="29" t="n">
        <f aca="false">INDEX(Sprint_Metrics!$F$7:$F$16,RANDBETWEEN(1,ROWS(Sprint_Metrics!$F$7:$F$16)))</f>
        <v>11</v>
      </c>
      <c r="F133" s="29" t="n">
        <f aca="false">INDEX(Sprint_Metrics!$F$7:$F$16,RANDBETWEEN(1,ROWS(Sprint_Metrics!$F$7:$F$16)))</f>
        <v>9</v>
      </c>
      <c r="G133" s="29" t="n">
        <f aca="false">INDEX(Sprint_Metrics!$F$7:$F$16,RANDBETWEEN(1,ROWS(Sprint_Metrics!$F$7:$F$16)))</f>
        <v>7</v>
      </c>
      <c r="H133" s="29" t="n">
        <f aca="false">INDEX(Sprint_Metrics!$F$7:$F$16,RANDBETWEEN(1,ROWS(Sprint_Metrics!$F$7:$F$16)))</f>
        <v>8</v>
      </c>
      <c r="I133" s="29" t="n">
        <f aca="false">INDEX(Sprint_Metrics!$F$7:$F$16,RANDBETWEEN(1,ROWS(Sprint_Metrics!$F$7:$F$16)))</f>
        <v>7</v>
      </c>
      <c r="J133" s="29" t="n">
        <f aca="false">B133</f>
        <v>11</v>
      </c>
      <c r="K133" s="29" t="n">
        <f aca="false">J133+C133</f>
        <v>22</v>
      </c>
      <c r="L133" s="29" t="n">
        <f aca="false">K133+D133</f>
        <v>33</v>
      </c>
      <c r="M133" s="29" t="n">
        <f aca="false">L133+E133</f>
        <v>44</v>
      </c>
      <c r="N133" s="29" t="n">
        <f aca="false">M133+F133</f>
        <v>53</v>
      </c>
      <c r="O133" s="29" t="n">
        <f aca="false">N133+G133</f>
        <v>60</v>
      </c>
      <c r="P133" s="29" t="n">
        <f aca="false">O133+H133</f>
        <v>68</v>
      </c>
      <c r="Q133" s="29" t="n">
        <f aca="false">P133+I133</f>
        <v>75</v>
      </c>
    </row>
    <row r="134" customFormat="false" ht="15" hidden="false" customHeight="false" outlineLevel="0" collapsed="false">
      <c r="A134" s="29" t="n">
        <v>133</v>
      </c>
      <c r="B134" s="29" t="n">
        <f aca="false">INDEX(Sprint_Metrics!$F$7:$F$16,RANDBETWEEN(1,ROWS(Sprint_Metrics!$F$7:$F$16)))</f>
        <v>11</v>
      </c>
      <c r="C134" s="29" t="n">
        <f aca="false">INDEX(Sprint_Metrics!$F$7:$F$16,RANDBETWEEN(1,ROWS(Sprint_Metrics!$F$7:$F$16)))</f>
        <v>7</v>
      </c>
      <c r="D134" s="29" t="n">
        <f aca="false">INDEX(Sprint_Metrics!$F$7:$F$16,RANDBETWEEN(1,ROWS(Sprint_Metrics!$F$7:$F$16)))</f>
        <v>12</v>
      </c>
      <c r="E134" s="29" t="n">
        <f aca="false">INDEX(Sprint_Metrics!$F$7:$F$16,RANDBETWEEN(1,ROWS(Sprint_Metrics!$F$7:$F$16)))</f>
        <v>11</v>
      </c>
      <c r="F134" s="29" t="n">
        <f aca="false">INDEX(Sprint_Metrics!$F$7:$F$16,RANDBETWEEN(1,ROWS(Sprint_Metrics!$F$7:$F$16)))</f>
        <v>9</v>
      </c>
      <c r="G134" s="29" t="n">
        <f aca="false">INDEX(Sprint_Metrics!$F$7:$F$16,RANDBETWEEN(1,ROWS(Sprint_Metrics!$F$7:$F$16)))</f>
        <v>7</v>
      </c>
      <c r="H134" s="29" t="n">
        <f aca="false">INDEX(Sprint_Metrics!$F$7:$F$16,RANDBETWEEN(1,ROWS(Sprint_Metrics!$F$7:$F$16)))</f>
        <v>8</v>
      </c>
      <c r="I134" s="29" t="n">
        <f aca="false">INDEX(Sprint_Metrics!$F$7:$F$16,RANDBETWEEN(1,ROWS(Sprint_Metrics!$F$7:$F$16)))</f>
        <v>11</v>
      </c>
      <c r="J134" s="29" t="n">
        <f aca="false">B134</f>
        <v>11</v>
      </c>
      <c r="K134" s="29" t="n">
        <f aca="false">J134+C134</f>
        <v>18</v>
      </c>
      <c r="L134" s="29" t="n">
        <f aca="false">K134+D134</f>
        <v>30</v>
      </c>
      <c r="M134" s="29" t="n">
        <f aca="false">L134+E134</f>
        <v>41</v>
      </c>
      <c r="N134" s="29" t="n">
        <f aca="false">M134+F134</f>
        <v>50</v>
      </c>
      <c r="O134" s="29" t="n">
        <f aca="false">N134+G134</f>
        <v>57</v>
      </c>
      <c r="P134" s="29" t="n">
        <f aca="false">O134+H134</f>
        <v>65</v>
      </c>
      <c r="Q134" s="29" t="n">
        <f aca="false">P134+I134</f>
        <v>76</v>
      </c>
    </row>
    <row r="135" customFormat="false" ht="15" hidden="false" customHeight="false" outlineLevel="0" collapsed="false">
      <c r="A135" s="29" t="n">
        <v>134</v>
      </c>
      <c r="B135" s="29" t="n">
        <f aca="false">INDEX(Sprint_Metrics!$F$7:$F$16,RANDBETWEEN(1,ROWS(Sprint_Metrics!$F$7:$F$16)))</f>
        <v>9</v>
      </c>
      <c r="C135" s="29" t="n">
        <f aca="false">INDEX(Sprint_Metrics!$F$7:$F$16,RANDBETWEEN(1,ROWS(Sprint_Metrics!$F$7:$F$16)))</f>
        <v>7</v>
      </c>
      <c r="D135" s="29" t="n">
        <f aca="false">INDEX(Sprint_Metrics!$F$7:$F$16,RANDBETWEEN(1,ROWS(Sprint_Metrics!$F$7:$F$16)))</f>
        <v>11</v>
      </c>
      <c r="E135" s="29" t="n">
        <f aca="false">INDEX(Sprint_Metrics!$F$7:$F$16,RANDBETWEEN(1,ROWS(Sprint_Metrics!$F$7:$F$16)))</f>
        <v>9</v>
      </c>
      <c r="F135" s="29" t="n">
        <f aca="false">INDEX(Sprint_Metrics!$F$7:$F$16,RANDBETWEEN(1,ROWS(Sprint_Metrics!$F$7:$F$16)))</f>
        <v>9</v>
      </c>
      <c r="G135" s="29" t="n">
        <f aca="false">INDEX(Sprint_Metrics!$F$7:$F$16,RANDBETWEEN(1,ROWS(Sprint_Metrics!$F$7:$F$16)))</f>
        <v>9</v>
      </c>
      <c r="H135" s="29" t="n">
        <f aca="false">INDEX(Sprint_Metrics!$F$7:$F$16,RANDBETWEEN(1,ROWS(Sprint_Metrics!$F$7:$F$16)))</f>
        <v>8</v>
      </c>
      <c r="I135" s="29" t="n">
        <f aca="false">INDEX(Sprint_Metrics!$F$7:$F$16,RANDBETWEEN(1,ROWS(Sprint_Metrics!$F$7:$F$16)))</f>
        <v>7</v>
      </c>
      <c r="J135" s="29" t="n">
        <f aca="false">B135</f>
        <v>9</v>
      </c>
      <c r="K135" s="29" t="n">
        <f aca="false">J135+C135</f>
        <v>16</v>
      </c>
      <c r="L135" s="29" t="n">
        <f aca="false">K135+D135</f>
        <v>27</v>
      </c>
      <c r="M135" s="29" t="n">
        <f aca="false">L135+E135</f>
        <v>36</v>
      </c>
      <c r="N135" s="29" t="n">
        <f aca="false">M135+F135</f>
        <v>45</v>
      </c>
      <c r="O135" s="29" t="n">
        <f aca="false">N135+G135</f>
        <v>54</v>
      </c>
      <c r="P135" s="29" t="n">
        <f aca="false">O135+H135</f>
        <v>62</v>
      </c>
      <c r="Q135" s="29" t="n">
        <f aca="false">P135+I135</f>
        <v>69</v>
      </c>
    </row>
    <row r="136" customFormat="false" ht="15" hidden="false" customHeight="false" outlineLevel="0" collapsed="false">
      <c r="A136" s="29" t="n">
        <v>135</v>
      </c>
      <c r="B136" s="29" t="n">
        <f aca="false">INDEX(Sprint_Metrics!$F$7:$F$16,RANDBETWEEN(1,ROWS(Sprint_Metrics!$F$7:$F$16)))</f>
        <v>8</v>
      </c>
      <c r="C136" s="29" t="n">
        <f aca="false">INDEX(Sprint_Metrics!$F$7:$F$16,RANDBETWEEN(1,ROWS(Sprint_Metrics!$F$7:$F$16)))</f>
        <v>12</v>
      </c>
      <c r="D136" s="29" t="n">
        <f aca="false">INDEX(Sprint_Metrics!$F$7:$F$16,RANDBETWEEN(1,ROWS(Sprint_Metrics!$F$7:$F$16)))</f>
        <v>8</v>
      </c>
      <c r="E136" s="29" t="n">
        <f aca="false">INDEX(Sprint_Metrics!$F$7:$F$16,RANDBETWEEN(1,ROWS(Sprint_Metrics!$F$7:$F$16)))</f>
        <v>8</v>
      </c>
      <c r="F136" s="29" t="n">
        <f aca="false">INDEX(Sprint_Metrics!$F$7:$F$16,RANDBETWEEN(1,ROWS(Sprint_Metrics!$F$7:$F$16)))</f>
        <v>9</v>
      </c>
      <c r="G136" s="29" t="n">
        <f aca="false">INDEX(Sprint_Metrics!$F$7:$F$16,RANDBETWEEN(1,ROWS(Sprint_Metrics!$F$7:$F$16)))</f>
        <v>12</v>
      </c>
      <c r="H136" s="29" t="n">
        <f aca="false">INDEX(Sprint_Metrics!$F$7:$F$16,RANDBETWEEN(1,ROWS(Sprint_Metrics!$F$7:$F$16)))</f>
        <v>7</v>
      </c>
      <c r="I136" s="29" t="n">
        <f aca="false">INDEX(Sprint_Metrics!$F$7:$F$16,RANDBETWEEN(1,ROWS(Sprint_Metrics!$F$7:$F$16)))</f>
        <v>11</v>
      </c>
      <c r="J136" s="29" t="n">
        <f aca="false">B136</f>
        <v>8</v>
      </c>
      <c r="K136" s="29" t="n">
        <f aca="false">J136+C136</f>
        <v>20</v>
      </c>
      <c r="L136" s="29" t="n">
        <f aca="false">K136+D136</f>
        <v>28</v>
      </c>
      <c r="M136" s="29" t="n">
        <f aca="false">L136+E136</f>
        <v>36</v>
      </c>
      <c r="N136" s="29" t="n">
        <f aca="false">M136+F136</f>
        <v>45</v>
      </c>
      <c r="O136" s="29" t="n">
        <f aca="false">N136+G136</f>
        <v>57</v>
      </c>
      <c r="P136" s="29" t="n">
        <f aca="false">O136+H136</f>
        <v>64</v>
      </c>
      <c r="Q136" s="29" t="n">
        <f aca="false">P136+I136</f>
        <v>75</v>
      </c>
    </row>
    <row r="137" customFormat="false" ht="15" hidden="false" customHeight="false" outlineLevel="0" collapsed="false">
      <c r="A137" s="29" t="n">
        <v>136</v>
      </c>
      <c r="B137" s="29" t="n">
        <f aca="false">INDEX(Sprint_Metrics!$F$7:$F$16,RANDBETWEEN(1,ROWS(Sprint_Metrics!$F$7:$F$16)))</f>
        <v>8</v>
      </c>
      <c r="C137" s="29" t="n">
        <f aca="false">INDEX(Sprint_Metrics!$F$7:$F$16,RANDBETWEEN(1,ROWS(Sprint_Metrics!$F$7:$F$16)))</f>
        <v>9</v>
      </c>
      <c r="D137" s="29" t="n">
        <f aca="false">INDEX(Sprint_Metrics!$F$7:$F$16,RANDBETWEEN(1,ROWS(Sprint_Metrics!$F$7:$F$16)))</f>
        <v>9</v>
      </c>
      <c r="E137" s="29" t="n">
        <f aca="false">INDEX(Sprint_Metrics!$F$7:$F$16,RANDBETWEEN(1,ROWS(Sprint_Metrics!$F$7:$F$16)))</f>
        <v>11</v>
      </c>
      <c r="F137" s="29" t="n">
        <f aca="false">INDEX(Sprint_Metrics!$F$7:$F$16,RANDBETWEEN(1,ROWS(Sprint_Metrics!$F$7:$F$16)))</f>
        <v>8</v>
      </c>
      <c r="G137" s="29" t="n">
        <f aca="false">INDEX(Sprint_Metrics!$F$7:$F$16,RANDBETWEEN(1,ROWS(Sprint_Metrics!$F$7:$F$16)))</f>
        <v>9</v>
      </c>
      <c r="H137" s="29" t="n">
        <f aca="false">INDEX(Sprint_Metrics!$F$7:$F$16,RANDBETWEEN(1,ROWS(Sprint_Metrics!$F$7:$F$16)))</f>
        <v>11</v>
      </c>
      <c r="I137" s="29" t="n">
        <f aca="false">INDEX(Sprint_Metrics!$F$7:$F$16,RANDBETWEEN(1,ROWS(Sprint_Metrics!$F$7:$F$16)))</f>
        <v>8</v>
      </c>
      <c r="J137" s="29" t="n">
        <f aca="false">B137</f>
        <v>8</v>
      </c>
      <c r="K137" s="29" t="n">
        <f aca="false">J137+C137</f>
        <v>17</v>
      </c>
      <c r="L137" s="29" t="n">
        <f aca="false">K137+D137</f>
        <v>26</v>
      </c>
      <c r="M137" s="29" t="n">
        <f aca="false">L137+E137</f>
        <v>37</v>
      </c>
      <c r="N137" s="29" t="n">
        <f aca="false">M137+F137</f>
        <v>45</v>
      </c>
      <c r="O137" s="29" t="n">
        <f aca="false">N137+G137</f>
        <v>54</v>
      </c>
      <c r="P137" s="29" t="n">
        <f aca="false">O137+H137</f>
        <v>65</v>
      </c>
      <c r="Q137" s="29" t="n">
        <f aca="false">P137+I137</f>
        <v>73</v>
      </c>
    </row>
    <row r="138" customFormat="false" ht="15" hidden="false" customHeight="false" outlineLevel="0" collapsed="false">
      <c r="A138" s="29" t="n">
        <v>137</v>
      </c>
      <c r="B138" s="29" t="n">
        <f aca="false">INDEX(Sprint_Metrics!$F$7:$F$16,RANDBETWEEN(1,ROWS(Sprint_Metrics!$F$7:$F$16)))</f>
        <v>7</v>
      </c>
      <c r="C138" s="29" t="n">
        <f aca="false">INDEX(Sprint_Metrics!$F$7:$F$16,RANDBETWEEN(1,ROWS(Sprint_Metrics!$F$7:$F$16)))</f>
        <v>9</v>
      </c>
      <c r="D138" s="29" t="n">
        <f aca="false">INDEX(Sprint_Metrics!$F$7:$F$16,RANDBETWEEN(1,ROWS(Sprint_Metrics!$F$7:$F$16)))</f>
        <v>9</v>
      </c>
      <c r="E138" s="29" t="n">
        <f aca="false">INDEX(Sprint_Metrics!$F$7:$F$16,RANDBETWEEN(1,ROWS(Sprint_Metrics!$F$7:$F$16)))</f>
        <v>8</v>
      </c>
      <c r="F138" s="29" t="n">
        <f aca="false">INDEX(Sprint_Metrics!$F$7:$F$16,RANDBETWEEN(1,ROWS(Sprint_Metrics!$F$7:$F$16)))</f>
        <v>7</v>
      </c>
      <c r="G138" s="29" t="n">
        <f aca="false">INDEX(Sprint_Metrics!$F$7:$F$16,RANDBETWEEN(1,ROWS(Sprint_Metrics!$F$7:$F$16)))</f>
        <v>9</v>
      </c>
      <c r="H138" s="29" t="n">
        <f aca="false">INDEX(Sprint_Metrics!$F$7:$F$16,RANDBETWEEN(1,ROWS(Sprint_Metrics!$F$7:$F$16)))</f>
        <v>11</v>
      </c>
      <c r="I138" s="29" t="n">
        <f aca="false">INDEX(Sprint_Metrics!$F$7:$F$16,RANDBETWEEN(1,ROWS(Sprint_Metrics!$F$7:$F$16)))</f>
        <v>8</v>
      </c>
      <c r="J138" s="29" t="n">
        <f aca="false">B138</f>
        <v>7</v>
      </c>
      <c r="K138" s="29" t="n">
        <f aca="false">J138+C138</f>
        <v>16</v>
      </c>
      <c r="L138" s="29" t="n">
        <f aca="false">K138+D138</f>
        <v>25</v>
      </c>
      <c r="M138" s="29" t="n">
        <f aca="false">L138+E138</f>
        <v>33</v>
      </c>
      <c r="N138" s="29" t="n">
        <f aca="false">M138+F138</f>
        <v>40</v>
      </c>
      <c r="O138" s="29" t="n">
        <f aca="false">N138+G138</f>
        <v>49</v>
      </c>
      <c r="P138" s="29" t="n">
        <f aca="false">O138+H138</f>
        <v>60</v>
      </c>
      <c r="Q138" s="29" t="n">
        <f aca="false">P138+I138</f>
        <v>68</v>
      </c>
    </row>
    <row r="139" customFormat="false" ht="15" hidden="false" customHeight="false" outlineLevel="0" collapsed="false">
      <c r="A139" s="29" t="n">
        <v>138</v>
      </c>
      <c r="B139" s="29" t="n">
        <f aca="false">INDEX(Sprint_Metrics!$F$7:$F$16,RANDBETWEEN(1,ROWS(Sprint_Metrics!$F$7:$F$16)))</f>
        <v>9</v>
      </c>
      <c r="C139" s="29" t="n">
        <f aca="false">INDEX(Sprint_Metrics!$F$7:$F$16,RANDBETWEEN(1,ROWS(Sprint_Metrics!$F$7:$F$16)))</f>
        <v>11</v>
      </c>
      <c r="D139" s="29" t="n">
        <f aca="false">INDEX(Sprint_Metrics!$F$7:$F$16,RANDBETWEEN(1,ROWS(Sprint_Metrics!$F$7:$F$16)))</f>
        <v>9</v>
      </c>
      <c r="E139" s="29" t="n">
        <f aca="false">INDEX(Sprint_Metrics!$F$7:$F$16,RANDBETWEEN(1,ROWS(Sprint_Metrics!$F$7:$F$16)))</f>
        <v>9</v>
      </c>
      <c r="F139" s="29" t="n">
        <f aca="false">INDEX(Sprint_Metrics!$F$7:$F$16,RANDBETWEEN(1,ROWS(Sprint_Metrics!$F$7:$F$16)))</f>
        <v>11</v>
      </c>
      <c r="G139" s="29" t="n">
        <f aca="false">INDEX(Sprint_Metrics!$F$7:$F$16,RANDBETWEEN(1,ROWS(Sprint_Metrics!$F$7:$F$16)))</f>
        <v>9</v>
      </c>
      <c r="H139" s="29" t="n">
        <f aca="false">INDEX(Sprint_Metrics!$F$7:$F$16,RANDBETWEEN(1,ROWS(Sprint_Metrics!$F$7:$F$16)))</f>
        <v>9</v>
      </c>
      <c r="I139" s="29" t="n">
        <f aca="false">INDEX(Sprint_Metrics!$F$7:$F$16,RANDBETWEEN(1,ROWS(Sprint_Metrics!$F$7:$F$16)))</f>
        <v>7</v>
      </c>
      <c r="J139" s="29" t="n">
        <f aca="false">B139</f>
        <v>9</v>
      </c>
      <c r="K139" s="29" t="n">
        <f aca="false">J139+C139</f>
        <v>20</v>
      </c>
      <c r="L139" s="29" t="n">
        <f aca="false">K139+D139</f>
        <v>29</v>
      </c>
      <c r="M139" s="29" t="n">
        <f aca="false">L139+E139</f>
        <v>38</v>
      </c>
      <c r="N139" s="29" t="n">
        <f aca="false">M139+F139</f>
        <v>49</v>
      </c>
      <c r="O139" s="29" t="n">
        <f aca="false">N139+G139</f>
        <v>58</v>
      </c>
      <c r="P139" s="29" t="n">
        <f aca="false">O139+H139</f>
        <v>67</v>
      </c>
      <c r="Q139" s="29" t="n">
        <f aca="false">P139+I139</f>
        <v>74</v>
      </c>
    </row>
    <row r="140" customFormat="false" ht="15" hidden="false" customHeight="false" outlineLevel="0" collapsed="false">
      <c r="A140" s="29" t="n">
        <v>139</v>
      </c>
      <c r="B140" s="29" t="n">
        <f aca="false">INDEX(Sprint_Metrics!$F$7:$F$16,RANDBETWEEN(1,ROWS(Sprint_Metrics!$F$7:$F$16)))</f>
        <v>8</v>
      </c>
      <c r="C140" s="29" t="n">
        <f aca="false">INDEX(Sprint_Metrics!$F$7:$F$16,RANDBETWEEN(1,ROWS(Sprint_Metrics!$F$7:$F$16)))</f>
        <v>8</v>
      </c>
      <c r="D140" s="29" t="n">
        <f aca="false">INDEX(Sprint_Metrics!$F$7:$F$16,RANDBETWEEN(1,ROWS(Sprint_Metrics!$F$7:$F$16)))</f>
        <v>7</v>
      </c>
      <c r="E140" s="29" t="n">
        <f aca="false">INDEX(Sprint_Metrics!$F$7:$F$16,RANDBETWEEN(1,ROWS(Sprint_Metrics!$F$7:$F$16)))</f>
        <v>8</v>
      </c>
      <c r="F140" s="29" t="n">
        <f aca="false">INDEX(Sprint_Metrics!$F$7:$F$16,RANDBETWEEN(1,ROWS(Sprint_Metrics!$F$7:$F$16)))</f>
        <v>7</v>
      </c>
      <c r="G140" s="29" t="n">
        <f aca="false">INDEX(Sprint_Metrics!$F$7:$F$16,RANDBETWEEN(1,ROWS(Sprint_Metrics!$F$7:$F$16)))</f>
        <v>8</v>
      </c>
      <c r="H140" s="29" t="n">
        <f aca="false">INDEX(Sprint_Metrics!$F$7:$F$16,RANDBETWEEN(1,ROWS(Sprint_Metrics!$F$7:$F$16)))</f>
        <v>11</v>
      </c>
      <c r="I140" s="29" t="n">
        <f aca="false">INDEX(Sprint_Metrics!$F$7:$F$16,RANDBETWEEN(1,ROWS(Sprint_Metrics!$F$7:$F$16)))</f>
        <v>9</v>
      </c>
      <c r="J140" s="29" t="n">
        <f aca="false">B140</f>
        <v>8</v>
      </c>
      <c r="K140" s="29" t="n">
        <f aca="false">J140+C140</f>
        <v>16</v>
      </c>
      <c r="L140" s="29" t="n">
        <f aca="false">K140+D140</f>
        <v>23</v>
      </c>
      <c r="M140" s="29" t="n">
        <f aca="false">L140+E140</f>
        <v>31</v>
      </c>
      <c r="N140" s="29" t="n">
        <f aca="false">M140+F140</f>
        <v>38</v>
      </c>
      <c r="O140" s="29" t="n">
        <f aca="false">N140+G140</f>
        <v>46</v>
      </c>
      <c r="P140" s="29" t="n">
        <f aca="false">O140+H140</f>
        <v>57</v>
      </c>
      <c r="Q140" s="29" t="n">
        <f aca="false">P140+I140</f>
        <v>66</v>
      </c>
    </row>
    <row r="141" customFormat="false" ht="15" hidden="false" customHeight="false" outlineLevel="0" collapsed="false">
      <c r="A141" s="29" t="n">
        <v>140</v>
      </c>
      <c r="B141" s="29" t="n">
        <f aca="false">INDEX(Sprint_Metrics!$F$7:$F$16,RANDBETWEEN(1,ROWS(Sprint_Metrics!$F$7:$F$16)))</f>
        <v>9</v>
      </c>
      <c r="C141" s="29" t="n">
        <f aca="false">INDEX(Sprint_Metrics!$F$7:$F$16,RANDBETWEEN(1,ROWS(Sprint_Metrics!$F$7:$F$16)))</f>
        <v>12</v>
      </c>
      <c r="D141" s="29" t="n">
        <f aca="false">INDEX(Sprint_Metrics!$F$7:$F$16,RANDBETWEEN(1,ROWS(Sprint_Metrics!$F$7:$F$16)))</f>
        <v>11</v>
      </c>
      <c r="E141" s="29" t="n">
        <f aca="false">INDEX(Sprint_Metrics!$F$7:$F$16,RANDBETWEEN(1,ROWS(Sprint_Metrics!$F$7:$F$16)))</f>
        <v>8</v>
      </c>
      <c r="F141" s="29" t="n">
        <f aca="false">INDEX(Sprint_Metrics!$F$7:$F$16,RANDBETWEEN(1,ROWS(Sprint_Metrics!$F$7:$F$16)))</f>
        <v>8</v>
      </c>
      <c r="G141" s="29" t="n">
        <f aca="false">INDEX(Sprint_Metrics!$F$7:$F$16,RANDBETWEEN(1,ROWS(Sprint_Metrics!$F$7:$F$16)))</f>
        <v>11</v>
      </c>
      <c r="H141" s="29" t="n">
        <f aca="false">INDEX(Sprint_Metrics!$F$7:$F$16,RANDBETWEEN(1,ROWS(Sprint_Metrics!$F$7:$F$16)))</f>
        <v>7</v>
      </c>
      <c r="I141" s="29" t="n">
        <f aca="false">INDEX(Sprint_Metrics!$F$7:$F$16,RANDBETWEEN(1,ROWS(Sprint_Metrics!$F$7:$F$16)))</f>
        <v>7</v>
      </c>
      <c r="J141" s="29" t="n">
        <f aca="false">B141</f>
        <v>9</v>
      </c>
      <c r="K141" s="29" t="n">
        <f aca="false">J141+C141</f>
        <v>21</v>
      </c>
      <c r="L141" s="29" t="n">
        <f aca="false">K141+D141</f>
        <v>32</v>
      </c>
      <c r="M141" s="29" t="n">
        <f aca="false">L141+E141</f>
        <v>40</v>
      </c>
      <c r="N141" s="29" t="n">
        <f aca="false">M141+F141</f>
        <v>48</v>
      </c>
      <c r="O141" s="29" t="n">
        <f aca="false">N141+G141</f>
        <v>59</v>
      </c>
      <c r="P141" s="29" t="n">
        <f aca="false">O141+H141</f>
        <v>66</v>
      </c>
      <c r="Q141" s="29" t="n">
        <f aca="false">P141+I141</f>
        <v>73</v>
      </c>
    </row>
    <row r="142" customFormat="false" ht="15" hidden="false" customHeight="false" outlineLevel="0" collapsed="false">
      <c r="A142" s="29" t="n">
        <v>141</v>
      </c>
      <c r="B142" s="29" t="n">
        <f aca="false">INDEX(Sprint_Metrics!$F$7:$F$16,RANDBETWEEN(1,ROWS(Sprint_Metrics!$F$7:$F$16)))</f>
        <v>9</v>
      </c>
      <c r="C142" s="29" t="n">
        <f aca="false">INDEX(Sprint_Metrics!$F$7:$F$16,RANDBETWEEN(1,ROWS(Sprint_Metrics!$F$7:$F$16)))</f>
        <v>7</v>
      </c>
      <c r="D142" s="29" t="n">
        <f aca="false">INDEX(Sprint_Metrics!$F$7:$F$16,RANDBETWEEN(1,ROWS(Sprint_Metrics!$F$7:$F$16)))</f>
        <v>8</v>
      </c>
      <c r="E142" s="29" t="n">
        <f aca="false">INDEX(Sprint_Metrics!$F$7:$F$16,RANDBETWEEN(1,ROWS(Sprint_Metrics!$F$7:$F$16)))</f>
        <v>9</v>
      </c>
      <c r="F142" s="29" t="n">
        <f aca="false">INDEX(Sprint_Metrics!$F$7:$F$16,RANDBETWEEN(1,ROWS(Sprint_Metrics!$F$7:$F$16)))</f>
        <v>9</v>
      </c>
      <c r="G142" s="29" t="n">
        <f aca="false">INDEX(Sprint_Metrics!$F$7:$F$16,RANDBETWEEN(1,ROWS(Sprint_Metrics!$F$7:$F$16)))</f>
        <v>8</v>
      </c>
      <c r="H142" s="29" t="n">
        <f aca="false">INDEX(Sprint_Metrics!$F$7:$F$16,RANDBETWEEN(1,ROWS(Sprint_Metrics!$F$7:$F$16)))</f>
        <v>8</v>
      </c>
      <c r="I142" s="29" t="n">
        <f aca="false">INDEX(Sprint_Metrics!$F$7:$F$16,RANDBETWEEN(1,ROWS(Sprint_Metrics!$F$7:$F$16)))</f>
        <v>8</v>
      </c>
      <c r="J142" s="29" t="n">
        <f aca="false">B142</f>
        <v>9</v>
      </c>
      <c r="K142" s="29" t="n">
        <f aca="false">J142+C142</f>
        <v>16</v>
      </c>
      <c r="L142" s="29" t="n">
        <f aca="false">K142+D142</f>
        <v>24</v>
      </c>
      <c r="M142" s="29" t="n">
        <f aca="false">L142+E142</f>
        <v>33</v>
      </c>
      <c r="N142" s="29" t="n">
        <f aca="false">M142+F142</f>
        <v>42</v>
      </c>
      <c r="O142" s="29" t="n">
        <f aca="false">N142+G142</f>
        <v>50</v>
      </c>
      <c r="P142" s="29" t="n">
        <f aca="false">O142+H142</f>
        <v>58</v>
      </c>
      <c r="Q142" s="29" t="n">
        <f aca="false">P142+I142</f>
        <v>66</v>
      </c>
    </row>
    <row r="143" customFormat="false" ht="15" hidden="false" customHeight="false" outlineLevel="0" collapsed="false">
      <c r="A143" s="29" t="n">
        <v>142</v>
      </c>
      <c r="B143" s="29" t="n">
        <f aca="false">INDEX(Sprint_Metrics!$F$7:$F$16,RANDBETWEEN(1,ROWS(Sprint_Metrics!$F$7:$F$16)))</f>
        <v>9</v>
      </c>
      <c r="C143" s="29" t="n">
        <f aca="false">INDEX(Sprint_Metrics!$F$7:$F$16,RANDBETWEEN(1,ROWS(Sprint_Metrics!$F$7:$F$16)))</f>
        <v>9</v>
      </c>
      <c r="D143" s="29" t="n">
        <f aca="false">INDEX(Sprint_Metrics!$F$7:$F$16,RANDBETWEEN(1,ROWS(Sprint_Metrics!$F$7:$F$16)))</f>
        <v>9</v>
      </c>
      <c r="E143" s="29" t="n">
        <f aca="false">INDEX(Sprint_Metrics!$F$7:$F$16,RANDBETWEEN(1,ROWS(Sprint_Metrics!$F$7:$F$16)))</f>
        <v>11</v>
      </c>
      <c r="F143" s="29" t="n">
        <f aca="false">INDEX(Sprint_Metrics!$F$7:$F$16,RANDBETWEEN(1,ROWS(Sprint_Metrics!$F$7:$F$16)))</f>
        <v>9</v>
      </c>
      <c r="G143" s="29" t="n">
        <f aca="false">INDEX(Sprint_Metrics!$F$7:$F$16,RANDBETWEEN(1,ROWS(Sprint_Metrics!$F$7:$F$16)))</f>
        <v>8</v>
      </c>
      <c r="H143" s="29" t="n">
        <f aca="false">INDEX(Sprint_Metrics!$F$7:$F$16,RANDBETWEEN(1,ROWS(Sprint_Metrics!$F$7:$F$16)))</f>
        <v>11</v>
      </c>
      <c r="I143" s="29" t="n">
        <f aca="false">INDEX(Sprint_Metrics!$F$7:$F$16,RANDBETWEEN(1,ROWS(Sprint_Metrics!$F$7:$F$16)))</f>
        <v>12</v>
      </c>
      <c r="J143" s="29" t="n">
        <f aca="false">B143</f>
        <v>9</v>
      </c>
      <c r="K143" s="29" t="n">
        <f aca="false">J143+C143</f>
        <v>18</v>
      </c>
      <c r="L143" s="29" t="n">
        <f aca="false">K143+D143</f>
        <v>27</v>
      </c>
      <c r="M143" s="29" t="n">
        <f aca="false">L143+E143</f>
        <v>38</v>
      </c>
      <c r="N143" s="29" t="n">
        <f aca="false">M143+F143</f>
        <v>47</v>
      </c>
      <c r="O143" s="29" t="n">
        <f aca="false">N143+G143</f>
        <v>55</v>
      </c>
      <c r="P143" s="29" t="n">
        <f aca="false">O143+H143</f>
        <v>66</v>
      </c>
      <c r="Q143" s="29" t="n">
        <f aca="false">P143+I143</f>
        <v>78</v>
      </c>
    </row>
    <row r="144" customFormat="false" ht="15" hidden="false" customHeight="false" outlineLevel="0" collapsed="false">
      <c r="A144" s="29" t="n">
        <v>143</v>
      </c>
      <c r="B144" s="29" t="n">
        <f aca="false">INDEX(Sprint_Metrics!$F$7:$F$16,RANDBETWEEN(1,ROWS(Sprint_Metrics!$F$7:$F$16)))</f>
        <v>8</v>
      </c>
      <c r="C144" s="29" t="n">
        <f aca="false">INDEX(Sprint_Metrics!$F$7:$F$16,RANDBETWEEN(1,ROWS(Sprint_Metrics!$F$7:$F$16)))</f>
        <v>8</v>
      </c>
      <c r="D144" s="29" t="n">
        <f aca="false">INDEX(Sprint_Metrics!$F$7:$F$16,RANDBETWEEN(1,ROWS(Sprint_Metrics!$F$7:$F$16)))</f>
        <v>11</v>
      </c>
      <c r="E144" s="29" t="n">
        <f aca="false">INDEX(Sprint_Metrics!$F$7:$F$16,RANDBETWEEN(1,ROWS(Sprint_Metrics!$F$7:$F$16)))</f>
        <v>8</v>
      </c>
      <c r="F144" s="29" t="n">
        <f aca="false">INDEX(Sprint_Metrics!$F$7:$F$16,RANDBETWEEN(1,ROWS(Sprint_Metrics!$F$7:$F$16)))</f>
        <v>8</v>
      </c>
      <c r="G144" s="29" t="n">
        <f aca="false">INDEX(Sprint_Metrics!$F$7:$F$16,RANDBETWEEN(1,ROWS(Sprint_Metrics!$F$7:$F$16)))</f>
        <v>9</v>
      </c>
      <c r="H144" s="29" t="n">
        <f aca="false">INDEX(Sprint_Metrics!$F$7:$F$16,RANDBETWEEN(1,ROWS(Sprint_Metrics!$F$7:$F$16)))</f>
        <v>9</v>
      </c>
      <c r="I144" s="29" t="n">
        <f aca="false">INDEX(Sprint_Metrics!$F$7:$F$16,RANDBETWEEN(1,ROWS(Sprint_Metrics!$F$7:$F$16)))</f>
        <v>11</v>
      </c>
      <c r="J144" s="29" t="n">
        <f aca="false">B144</f>
        <v>8</v>
      </c>
      <c r="K144" s="29" t="n">
        <f aca="false">J144+C144</f>
        <v>16</v>
      </c>
      <c r="L144" s="29" t="n">
        <f aca="false">K144+D144</f>
        <v>27</v>
      </c>
      <c r="M144" s="29" t="n">
        <f aca="false">L144+E144</f>
        <v>35</v>
      </c>
      <c r="N144" s="29" t="n">
        <f aca="false">M144+F144</f>
        <v>43</v>
      </c>
      <c r="O144" s="29" t="n">
        <f aca="false">N144+G144</f>
        <v>52</v>
      </c>
      <c r="P144" s="29" t="n">
        <f aca="false">O144+H144</f>
        <v>61</v>
      </c>
      <c r="Q144" s="29" t="n">
        <f aca="false">P144+I144</f>
        <v>72</v>
      </c>
    </row>
    <row r="145" customFormat="false" ht="15" hidden="false" customHeight="false" outlineLevel="0" collapsed="false">
      <c r="A145" s="29" t="n">
        <v>144</v>
      </c>
      <c r="B145" s="29" t="n">
        <f aca="false">INDEX(Sprint_Metrics!$F$7:$F$16,RANDBETWEEN(1,ROWS(Sprint_Metrics!$F$7:$F$16)))</f>
        <v>8</v>
      </c>
      <c r="C145" s="29" t="n">
        <f aca="false">INDEX(Sprint_Metrics!$F$7:$F$16,RANDBETWEEN(1,ROWS(Sprint_Metrics!$F$7:$F$16)))</f>
        <v>11</v>
      </c>
      <c r="D145" s="29" t="n">
        <f aca="false">INDEX(Sprint_Metrics!$F$7:$F$16,RANDBETWEEN(1,ROWS(Sprint_Metrics!$F$7:$F$16)))</f>
        <v>12</v>
      </c>
      <c r="E145" s="29" t="n">
        <f aca="false">INDEX(Sprint_Metrics!$F$7:$F$16,RANDBETWEEN(1,ROWS(Sprint_Metrics!$F$7:$F$16)))</f>
        <v>7</v>
      </c>
      <c r="F145" s="29" t="n">
        <f aca="false">INDEX(Sprint_Metrics!$F$7:$F$16,RANDBETWEEN(1,ROWS(Sprint_Metrics!$F$7:$F$16)))</f>
        <v>11</v>
      </c>
      <c r="G145" s="29" t="n">
        <f aca="false">INDEX(Sprint_Metrics!$F$7:$F$16,RANDBETWEEN(1,ROWS(Sprint_Metrics!$F$7:$F$16)))</f>
        <v>12</v>
      </c>
      <c r="H145" s="29" t="n">
        <f aca="false">INDEX(Sprint_Metrics!$F$7:$F$16,RANDBETWEEN(1,ROWS(Sprint_Metrics!$F$7:$F$16)))</f>
        <v>12</v>
      </c>
      <c r="I145" s="29" t="n">
        <f aca="false">INDEX(Sprint_Metrics!$F$7:$F$16,RANDBETWEEN(1,ROWS(Sprint_Metrics!$F$7:$F$16)))</f>
        <v>12</v>
      </c>
      <c r="J145" s="29" t="n">
        <f aca="false">B145</f>
        <v>8</v>
      </c>
      <c r="K145" s="29" t="n">
        <f aca="false">J145+C145</f>
        <v>19</v>
      </c>
      <c r="L145" s="29" t="n">
        <f aca="false">K145+D145</f>
        <v>31</v>
      </c>
      <c r="M145" s="29" t="n">
        <f aca="false">L145+E145</f>
        <v>38</v>
      </c>
      <c r="N145" s="29" t="n">
        <f aca="false">M145+F145</f>
        <v>49</v>
      </c>
      <c r="O145" s="29" t="n">
        <f aca="false">N145+G145</f>
        <v>61</v>
      </c>
      <c r="P145" s="29" t="n">
        <f aca="false">O145+H145</f>
        <v>73</v>
      </c>
      <c r="Q145" s="29" t="n">
        <f aca="false">P145+I145</f>
        <v>85</v>
      </c>
    </row>
    <row r="146" customFormat="false" ht="15" hidden="false" customHeight="false" outlineLevel="0" collapsed="false">
      <c r="A146" s="29" t="n">
        <v>145</v>
      </c>
      <c r="B146" s="29" t="n">
        <f aca="false">INDEX(Sprint_Metrics!$F$7:$F$16,RANDBETWEEN(1,ROWS(Sprint_Metrics!$F$7:$F$16)))</f>
        <v>7</v>
      </c>
      <c r="C146" s="29" t="n">
        <f aca="false">INDEX(Sprint_Metrics!$F$7:$F$16,RANDBETWEEN(1,ROWS(Sprint_Metrics!$F$7:$F$16)))</f>
        <v>7</v>
      </c>
      <c r="D146" s="29" t="n">
        <f aca="false">INDEX(Sprint_Metrics!$F$7:$F$16,RANDBETWEEN(1,ROWS(Sprint_Metrics!$F$7:$F$16)))</f>
        <v>8</v>
      </c>
      <c r="E146" s="29" t="n">
        <f aca="false">INDEX(Sprint_Metrics!$F$7:$F$16,RANDBETWEEN(1,ROWS(Sprint_Metrics!$F$7:$F$16)))</f>
        <v>7</v>
      </c>
      <c r="F146" s="29" t="n">
        <f aca="false">INDEX(Sprint_Metrics!$F$7:$F$16,RANDBETWEEN(1,ROWS(Sprint_Metrics!$F$7:$F$16)))</f>
        <v>8</v>
      </c>
      <c r="G146" s="29" t="n">
        <f aca="false">INDEX(Sprint_Metrics!$F$7:$F$16,RANDBETWEEN(1,ROWS(Sprint_Metrics!$F$7:$F$16)))</f>
        <v>8</v>
      </c>
      <c r="H146" s="29" t="n">
        <f aca="false">INDEX(Sprint_Metrics!$F$7:$F$16,RANDBETWEEN(1,ROWS(Sprint_Metrics!$F$7:$F$16)))</f>
        <v>8</v>
      </c>
      <c r="I146" s="29" t="n">
        <f aca="false">INDEX(Sprint_Metrics!$F$7:$F$16,RANDBETWEEN(1,ROWS(Sprint_Metrics!$F$7:$F$16)))</f>
        <v>8</v>
      </c>
      <c r="J146" s="29" t="n">
        <f aca="false">B146</f>
        <v>7</v>
      </c>
      <c r="K146" s="29" t="n">
        <f aca="false">J146+C146</f>
        <v>14</v>
      </c>
      <c r="L146" s="29" t="n">
        <f aca="false">K146+D146</f>
        <v>22</v>
      </c>
      <c r="M146" s="29" t="n">
        <f aca="false">L146+E146</f>
        <v>29</v>
      </c>
      <c r="N146" s="29" t="n">
        <f aca="false">M146+F146</f>
        <v>37</v>
      </c>
      <c r="O146" s="29" t="n">
        <f aca="false">N146+G146</f>
        <v>45</v>
      </c>
      <c r="P146" s="29" t="n">
        <f aca="false">O146+H146</f>
        <v>53</v>
      </c>
      <c r="Q146" s="29" t="n">
        <f aca="false">P146+I146</f>
        <v>61</v>
      </c>
    </row>
    <row r="147" customFormat="false" ht="15" hidden="false" customHeight="false" outlineLevel="0" collapsed="false">
      <c r="A147" s="29" t="n">
        <v>146</v>
      </c>
      <c r="B147" s="29" t="n">
        <f aca="false">INDEX(Sprint_Metrics!$F$7:$F$16,RANDBETWEEN(1,ROWS(Sprint_Metrics!$F$7:$F$16)))</f>
        <v>7</v>
      </c>
      <c r="C147" s="29" t="n">
        <f aca="false">INDEX(Sprint_Metrics!$F$7:$F$16,RANDBETWEEN(1,ROWS(Sprint_Metrics!$F$7:$F$16)))</f>
        <v>7</v>
      </c>
      <c r="D147" s="29" t="n">
        <f aca="false">INDEX(Sprint_Metrics!$F$7:$F$16,RANDBETWEEN(1,ROWS(Sprint_Metrics!$F$7:$F$16)))</f>
        <v>7</v>
      </c>
      <c r="E147" s="29" t="n">
        <f aca="false">INDEX(Sprint_Metrics!$F$7:$F$16,RANDBETWEEN(1,ROWS(Sprint_Metrics!$F$7:$F$16)))</f>
        <v>11</v>
      </c>
      <c r="F147" s="29" t="n">
        <f aca="false">INDEX(Sprint_Metrics!$F$7:$F$16,RANDBETWEEN(1,ROWS(Sprint_Metrics!$F$7:$F$16)))</f>
        <v>8</v>
      </c>
      <c r="G147" s="29" t="n">
        <f aca="false">INDEX(Sprint_Metrics!$F$7:$F$16,RANDBETWEEN(1,ROWS(Sprint_Metrics!$F$7:$F$16)))</f>
        <v>7</v>
      </c>
      <c r="H147" s="29" t="n">
        <f aca="false">INDEX(Sprint_Metrics!$F$7:$F$16,RANDBETWEEN(1,ROWS(Sprint_Metrics!$F$7:$F$16)))</f>
        <v>12</v>
      </c>
      <c r="I147" s="29" t="n">
        <f aca="false">INDEX(Sprint_Metrics!$F$7:$F$16,RANDBETWEEN(1,ROWS(Sprint_Metrics!$F$7:$F$16)))</f>
        <v>8</v>
      </c>
      <c r="J147" s="29" t="n">
        <f aca="false">B147</f>
        <v>7</v>
      </c>
      <c r="K147" s="29" t="n">
        <f aca="false">J147+C147</f>
        <v>14</v>
      </c>
      <c r="L147" s="29" t="n">
        <f aca="false">K147+D147</f>
        <v>21</v>
      </c>
      <c r="M147" s="29" t="n">
        <f aca="false">L147+E147</f>
        <v>32</v>
      </c>
      <c r="N147" s="29" t="n">
        <f aca="false">M147+F147</f>
        <v>40</v>
      </c>
      <c r="O147" s="29" t="n">
        <f aca="false">N147+G147</f>
        <v>47</v>
      </c>
      <c r="P147" s="29" t="n">
        <f aca="false">O147+H147</f>
        <v>59</v>
      </c>
      <c r="Q147" s="29" t="n">
        <f aca="false">P147+I147</f>
        <v>67</v>
      </c>
    </row>
    <row r="148" customFormat="false" ht="15" hidden="false" customHeight="false" outlineLevel="0" collapsed="false">
      <c r="A148" s="29" t="n">
        <v>147</v>
      </c>
      <c r="B148" s="29" t="n">
        <f aca="false">INDEX(Sprint_Metrics!$F$7:$F$16,RANDBETWEEN(1,ROWS(Sprint_Metrics!$F$7:$F$16)))</f>
        <v>9</v>
      </c>
      <c r="C148" s="29" t="n">
        <f aca="false">INDEX(Sprint_Metrics!$F$7:$F$16,RANDBETWEEN(1,ROWS(Sprint_Metrics!$F$7:$F$16)))</f>
        <v>11</v>
      </c>
      <c r="D148" s="29" t="n">
        <f aca="false">INDEX(Sprint_Metrics!$F$7:$F$16,RANDBETWEEN(1,ROWS(Sprint_Metrics!$F$7:$F$16)))</f>
        <v>8</v>
      </c>
      <c r="E148" s="29" t="n">
        <f aca="false">INDEX(Sprint_Metrics!$F$7:$F$16,RANDBETWEEN(1,ROWS(Sprint_Metrics!$F$7:$F$16)))</f>
        <v>11</v>
      </c>
      <c r="F148" s="29" t="n">
        <f aca="false">INDEX(Sprint_Metrics!$F$7:$F$16,RANDBETWEEN(1,ROWS(Sprint_Metrics!$F$7:$F$16)))</f>
        <v>11</v>
      </c>
      <c r="G148" s="29" t="n">
        <f aca="false">INDEX(Sprint_Metrics!$F$7:$F$16,RANDBETWEEN(1,ROWS(Sprint_Metrics!$F$7:$F$16)))</f>
        <v>11</v>
      </c>
      <c r="H148" s="29" t="n">
        <f aca="false">INDEX(Sprint_Metrics!$F$7:$F$16,RANDBETWEEN(1,ROWS(Sprint_Metrics!$F$7:$F$16)))</f>
        <v>9</v>
      </c>
      <c r="I148" s="29" t="n">
        <f aca="false">INDEX(Sprint_Metrics!$F$7:$F$16,RANDBETWEEN(1,ROWS(Sprint_Metrics!$F$7:$F$16)))</f>
        <v>9</v>
      </c>
      <c r="J148" s="29" t="n">
        <f aca="false">B148</f>
        <v>9</v>
      </c>
      <c r="K148" s="29" t="n">
        <f aca="false">J148+C148</f>
        <v>20</v>
      </c>
      <c r="L148" s="29" t="n">
        <f aca="false">K148+D148</f>
        <v>28</v>
      </c>
      <c r="M148" s="29" t="n">
        <f aca="false">L148+E148</f>
        <v>39</v>
      </c>
      <c r="N148" s="29" t="n">
        <f aca="false">M148+F148</f>
        <v>50</v>
      </c>
      <c r="O148" s="29" t="n">
        <f aca="false">N148+G148</f>
        <v>61</v>
      </c>
      <c r="P148" s="29" t="n">
        <f aca="false">O148+H148</f>
        <v>70</v>
      </c>
      <c r="Q148" s="29" t="n">
        <f aca="false">P148+I148</f>
        <v>79</v>
      </c>
    </row>
    <row r="149" customFormat="false" ht="15" hidden="false" customHeight="false" outlineLevel="0" collapsed="false">
      <c r="A149" s="29" t="n">
        <v>148</v>
      </c>
      <c r="B149" s="29" t="n">
        <f aca="false">INDEX(Sprint_Metrics!$F$7:$F$16,RANDBETWEEN(1,ROWS(Sprint_Metrics!$F$7:$F$16)))</f>
        <v>7</v>
      </c>
      <c r="C149" s="29" t="n">
        <f aca="false">INDEX(Sprint_Metrics!$F$7:$F$16,RANDBETWEEN(1,ROWS(Sprint_Metrics!$F$7:$F$16)))</f>
        <v>11</v>
      </c>
      <c r="D149" s="29" t="n">
        <f aca="false">INDEX(Sprint_Metrics!$F$7:$F$16,RANDBETWEEN(1,ROWS(Sprint_Metrics!$F$7:$F$16)))</f>
        <v>9</v>
      </c>
      <c r="E149" s="29" t="n">
        <f aca="false">INDEX(Sprint_Metrics!$F$7:$F$16,RANDBETWEEN(1,ROWS(Sprint_Metrics!$F$7:$F$16)))</f>
        <v>8</v>
      </c>
      <c r="F149" s="29" t="n">
        <f aca="false">INDEX(Sprint_Metrics!$F$7:$F$16,RANDBETWEEN(1,ROWS(Sprint_Metrics!$F$7:$F$16)))</f>
        <v>11</v>
      </c>
      <c r="G149" s="29" t="n">
        <f aca="false">INDEX(Sprint_Metrics!$F$7:$F$16,RANDBETWEEN(1,ROWS(Sprint_Metrics!$F$7:$F$16)))</f>
        <v>9</v>
      </c>
      <c r="H149" s="29" t="n">
        <f aca="false">INDEX(Sprint_Metrics!$F$7:$F$16,RANDBETWEEN(1,ROWS(Sprint_Metrics!$F$7:$F$16)))</f>
        <v>8</v>
      </c>
      <c r="I149" s="29" t="n">
        <f aca="false">INDEX(Sprint_Metrics!$F$7:$F$16,RANDBETWEEN(1,ROWS(Sprint_Metrics!$F$7:$F$16)))</f>
        <v>9</v>
      </c>
      <c r="J149" s="29" t="n">
        <f aca="false">B149</f>
        <v>7</v>
      </c>
      <c r="K149" s="29" t="n">
        <f aca="false">J149+C149</f>
        <v>18</v>
      </c>
      <c r="L149" s="29" t="n">
        <f aca="false">K149+D149</f>
        <v>27</v>
      </c>
      <c r="M149" s="29" t="n">
        <f aca="false">L149+E149</f>
        <v>35</v>
      </c>
      <c r="N149" s="29" t="n">
        <f aca="false">M149+F149</f>
        <v>46</v>
      </c>
      <c r="O149" s="29" t="n">
        <f aca="false">N149+G149</f>
        <v>55</v>
      </c>
      <c r="P149" s="29" t="n">
        <f aca="false">O149+H149</f>
        <v>63</v>
      </c>
      <c r="Q149" s="29" t="n">
        <f aca="false">P149+I149</f>
        <v>72</v>
      </c>
    </row>
    <row r="150" customFormat="false" ht="15" hidden="false" customHeight="false" outlineLevel="0" collapsed="false">
      <c r="A150" s="29" t="n">
        <v>149</v>
      </c>
      <c r="B150" s="29" t="n">
        <f aca="false">INDEX(Sprint_Metrics!$F$7:$F$16,RANDBETWEEN(1,ROWS(Sprint_Metrics!$F$7:$F$16)))</f>
        <v>8</v>
      </c>
      <c r="C150" s="29" t="n">
        <f aca="false">INDEX(Sprint_Metrics!$F$7:$F$16,RANDBETWEEN(1,ROWS(Sprint_Metrics!$F$7:$F$16)))</f>
        <v>11</v>
      </c>
      <c r="D150" s="29" t="n">
        <f aca="false">INDEX(Sprint_Metrics!$F$7:$F$16,RANDBETWEEN(1,ROWS(Sprint_Metrics!$F$7:$F$16)))</f>
        <v>11</v>
      </c>
      <c r="E150" s="29" t="n">
        <f aca="false">INDEX(Sprint_Metrics!$F$7:$F$16,RANDBETWEEN(1,ROWS(Sprint_Metrics!$F$7:$F$16)))</f>
        <v>11</v>
      </c>
      <c r="F150" s="29" t="n">
        <f aca="false">INDEX(Sprint_Metrics!$F$7:$F$16,RANDBETWEEN(1,ROWS(Sprint_Metrics!$F$7:$F$16)))</f>
        <v>12</v>
      </c>
      <c r="G150" s="29" t="n">
        <f aca="false">INDEX(Sprint_Metrics!$F$7:$F$16,RANDBETWEEN(1,ROWS(Sprint_Metrics!$F$7:$F$16)))</f>
        <v>8</v>
      </c>
      <c r="H150" s="29" t="n">
        <f aca="false">INDEX(Sprint_Metrics!$F$7:$F$16,RANDBETWEEN(1,ROWS(Sprint_Metrics!$F$7:$F$16)))</f>
        <v>8</v>
      </c>
      <c r="I150" s="29" t="n">
        <f aca="false">INDEX(Sprint_Metrics!$F$7:$F$16,RANDBETWEEN(1,ROWS(Sprint_Metrics!$F$7:$F$16)))</f>
        <v>8</v>
      </c>
      <c r="J150" s="29" t="n">
        <f aca="false">B150</f>
        <v>8</v>
      </c>
      <c r="K150" s="29" t="n">
        <f aca="false">J150+C150</f>
        <v>19</v>
      </c>
      <c r="L150" s="29" t="n">
        <f aca="false">K150+D150</f>
        <v>30</v>
      </c>
      <c r="M150" s="29" t="n">
        <f aca="false">L150+E150</f>
        <v>41</v>
      </c>
      <c r="N150" s="29" t="n">
        <f aca="false">M150+F150</f>
        <v>53</v>
      </c>
      <c r="O150" s="29" t="n">
        <f aca="false">N150+G150</f>
        <v>61</v>
      </c>
      <c r="P150" s="29" t="n">
        <f aca="false">O150+H150</f>
        <v>69</v>
      </c>
      <c r="Q150" s="29" t="n">
        <f aca="false">P150+I150</f>
        <v>77</v>
      </c>
    </row>
    <row r="151" customFormat="false" ht="15" hidden="false" customHeight="false" outlineLevel="0" collapsed="false">
      <c r="A151" s="29" t="n">
        <v>150</v>
      </c>
      <c r="B151" s="29" t="n">
        <f aca="false">INDEX(Sprint_Metrics!$F$7:$F$16,RANDBETWEEN(1,ROWS(Sprint_Metrics!$F$7:$F$16)))</f>
        <v>8</v>
      </c>
      <c r="C151" s="29" t="n">
        <f aca="false">INDEX(Sprint_Metrics!$F$7:$F$16,RANDBETWEEN(1,ROWS(Sprint_Metrics!$F$7:$F$16)))</f>
        <v>8</v>
      </c>
      <c r="D151" s="29" t="n">
        <f aca="false">INDEX(Sprint_Metrics!$F$7:$F$16,RANDBETWEEN(1,ROWS(Sprint_Metrics!$F$7:$F$16)))</f>
        <v>7</v>
      </c>
      <c r="E151" s="29" t="n">
        <f aca="false">INDEX(Sprint_Metrics!$F$7:$F$16,RANDBETWEEN(1,ROWS(Sprint_Metrics!$F$7:$F$16)))</f>
        <v>7</v>
      </c>
      <c r="F151" s="29" t="n">
        <f aca="false">INDEX(Sprint_Metrics!$F$7:$F$16,RANDBETWEEN(1,ROWS(Sprint_Metrics!$F$7:$F$16)))</f>
        <v>8</v>
      </c>
      <c r="G151" s="29" t="n">
        <f aca="false">INDEX(Sprint_Metrics!$F$7:$F$16,RANDBETWEEN(1,ROWS(Sprint_Metrics!$F$7:$F$16)))</f>
        <v>7</v>
      </c>
      <c r="H151" s="29" t="n">
        <f aca="false">INDEX(Sprint_Metrics!$F$7:$F$16,RANDBETWEEN(1,ROWS(Sprint_Metrics!$F$7:$F$16)))</f>
        <v>9</v>
      </c>
      <c r="I151" s="29" t="n">
        <f aca="false">INDEX(Sprint_Metrics!$F$7:$F$16,RANDBETWEEN(1,ROWS(Sprint_Metrics!$F$7:$F$16)))</f>
        <v>11</v>
      </c>
      <c r="J151" s="29" t="n">
        <f aca="false">B151</f>
        <v>8</v>
      </c>
      <c r="K151" s="29" t="n">
        <f aca="false">J151+C151</f>
        <v>16</v>
      </c>
      <c r="L151" s="29" t="n">
        <f aca="false">K151+D151</f>
        <v>23</v>
      </c>
      <c r="M151" s="29" t="n">
        <f aca="false">L151+E151</f>
        <v>30</v>
      </c>
      <c r="N151" s="29" t="n">
        <f aca="false">M151+F151</f>
        <v>38</v>
      </c>
      <c r="O151" s="29" t="n">
        <f aca="false">N151+G151</f>
        <v>45</v>
      </c>
      <c r="P151" s="29" t="n">
        <f aca="false">O151+H151</f>
        <v>54</v>
      </c>
      <c r="Q151" s="29" t="n">
        <f aca="false">P151+I151</f>
        <v>65</v>
      </c>
    </row>
    <row r="152" customFormat="false" ht="15" hidden="false" customHeight="false" outlineLevel="0" collapsed="false">
      <c r="A152" s="29" t="n">
        <v>151</v>
      </c>
      <c r="B152" s="29" t="n">
        <f aca="false">INDEX(Sprint_Metrics!$F$7:$F$16,RANDBETWEEN(1,ROWS(Sprint_Metrics!$F$7:$F$16)))</f>
        <v>9</v>
      </c>
      <c r="C152" s="29" t="n">
        <f aca="false">INDEX(Sprint_Metrics!$F$7:$F$16,RANDBETWEEN(1,ROWS(Sprint_Metrics!$F$7:$F$16)))</f>
        <v>9</v>
      </c>
      <c r="D152" s="29" t="n">
        <f aca="false">INDEX(Sprint_Metrics!$F$7:$F$16,RANDBETWEEN(1,ROWS(Sprint_Metrics!$F$7:$F$16)))</f>
        <v>7</v>
      </c>
      <c r="E152" s="29" t="n">
        <f aca="false">INDEX(Sprint_Metrics!$F$7:$F$16,RANDBETWEEN(1,ROWS(Sprint_Metrics!$F$7:$F$16)))</f>
        <v>8</v>
      </c>
      <c r="F152" s="29" t="n">
        <f aca="false">INDEX(Sprint_Metrics!$F$7:$F$16,RANDBETWEEN(1,ROWS(Sprint_Metrics!$F$7:$F$16)))</f>
        <v>11</v>
      </c>
      <c r="G152" s="29" t="n">
        <f aca="false">INDEX(Sprint_Metrics!$F$7:$F$16,RANDBETWEEN(1,ROWS(Sprint_Metrics!$F$7:$F$16)))</f>
        <v>8</v>
      </c>
      <c r="H152" s="29" t="n">
        <f aca="false">INDEX(Sprint_Metrics!$F$7:$F$16,RANDBETWEEN(1,ROWS(Sprint_Metrics!$F$7:$F$16)))</f>
        <v>11</v>
      </c>
      <c r="I152" s="29" t="n">
        <f aca="false">INDEX(Sprint_Metrics!$F$7:$F$16,RANDBETWEEN(1,ROWS(Sprint_Metrics!$F$7:$F$16)))</f>
        <v>9</v>
      </c>
      <c r="J152" s="29" t="n">
        <f aca="false">B152</f>
        <v>9</v>
      </c>
      <c r="K152" s="29" t="n">
        <f aca="false">J152+C152</f>
        <v>18</v>
      </c>
      <c r="L152" s="29" t="n">
        <f aca="false">K152+D152</f>
        <v>25</v>
      </c>
      <c r="M152" s="29" t="n">
        <f aca="false">L152+E152</f>
        <v>33</v>
      </c>
      <c r="N152" s="29" t="n">
        <f aca="false">M152+F152</f>
        <v>44</v>
      </c>
      <c r="O152" s="29" t="n">
        <f aca="false">N152+G152</f>
        <v>52</v>
      </c>
      <c r="P152" s="29" t="n">
        <f aca="false">O152+H152</f>
        <v>63</v>
      </c>
      <c r="Q152" s="29" t="n">
        <f aca="false">P152+I152</f>
        <v>72</v>
      </c>
    </row>
    <row r="153" customFormat="false" ht="15" hidden="false" customHeight="false" outlineLevel="0" collapsed="false">
      <c r="A153" s="29" t="n">
        <v>152</v>
      </c>
      <c r="B153" s="29" t="n">
        <f aca="false">INDEX(Sprint_Metrics!$F$7:$F$16,RANDBETWEEN(1,ROWS(Sprint_Metrics!$F$7:$F$16)))</f>
        <v>7</v>
      </c>
      <c r="C153" s="29" t="n">
        <f aca="false">INDEX(Sprint_Metrics!$F$7:$F$16,RANDBETWEEN(1,ROWS(Sprint_Metrics!$F$7:$F$16)))</f>
        <v>8</v>
      </c>
      <c r="D153" s="29" t="n">
        <f aca="false">INDEX(Sprint_Metrics!$F$7:$F$16,RANDBETWEEN(1,ROWS(Sprint_Metrics!$F$7:$F$16)))</f>
        <v>12</v>
      </c>
      <c r="E153" s="29" t="n">
        <f aca="false">INDEX(Sprint_Metrics!$F$7:$F$16,RANDBETWEEN(1,ROWS(Sprint_Metrics!$F$7:$F$16)))</f>
        <v>7</v>
      </c>
      <c r="F153" s="29" t="n">
        <f aca="false">INDEX(Sprint_Metrics!$F$7:$F$16,RANDBETWEEN(1,ROWS(Sprint_Metrics!$F$7:$F$16)))</f>
        <v>9</v>
      </c>
      <c r="G153" s="29" t="n">
        <f aca="false">INDEX(Sprint_Metrics!$F$7:$F$16,RANDBETWEEN(1,ROWS(Sprint_Metrics!$F$7:$F$16)))</f>
        <v>7</v>
      </c>
      <c r="H153" s="29" t="n">
        <f aca="false">INDEX(Sprint_Metrics!$F$7:$F$16,RANDBETWEEN(1,ROWS(Sprint_Metrics!$F$7:$F$16)))</f>
        <v>11</v>
      </c>
      <c r="I153" s="29" t="n">
        <f aca="false">INDEX(Sprint_Metrics!$F$7:$F$16,RANDBETWEEN(1,ROWS(Sprint_Metrics!$F$7:$F$16)))</f>
        <v>9</v>
      </c>
      <c r="J153" s="29" t="n">
        <f aca="false">B153</f>
        <v>7</v>
      </c>
      <c r="K153" s="29" t="n">
        <f aca="false">J153+C153</f>
        <v>15</v>
      </c>
      <c r="L153" s="29" t="n">
        <f aca="false">K153+D153</f>
        <v>27</v>
      </c>
      <c r="M153" s="29" t="n">
        <f aca="false">L153+E153</f>
        <v>34</v>
      </c>
      <c r="N153" s="29" t="n">
        <f aca="false">M153+F153</f>
        <v>43</v>
      </c>
      <c r="O153" s="29" t="n">
        <f aca="false">N153+G153</f>
        <v>50</v>
      </c>
      <c r="P153" s="29" t="n">
        <f aca="false">O153+H153</f>
        <v>61</v>
      </c>
      <c r="Q153" s="29" t="n">
        <f aca="false">P153+I153</f>
        <v>70</v>
      </c>
    </row>
    <row r="154" customFormat="false" ht="15" hidden="false" customHeight="false" outlineLevel="0" collapsed="false">
      <c r="A154" s="29" t="n">
        <v>153</v>
      </c>
      <c r="B154" s="29" t="n">
        <f aca="false">INDEX(Sprint_Metrics!$F$7:$F$16,RANDBETWEEN(1,ROWS(Sprint_Metrics!$F$7:$F$16)))</f>
        <v>8</v>
      </c>
      <c r="C154" s="29" t="n">
        <f aca="false">INDEX(Sprint_Metrics!$F$7:$F$16,RANDBETWEEN(1,ROWS(Sprint_Metrics!$F$7:$F$16)))</f>
        <v>9</v>
      </c>
      <c r="D154" s="29" t="n">
        <f aca="false">INDEX(Sprint_Metrics!$F$7:$F$16,RANDBETWEEN(1,ROWS(Sprint_Metrics!$F$7:$F$16)))</f>
        <v>9</v>
      </c>
      <c r="E154" s="29" t="n">
        <f aca="false">INDEX(Sprint_Metrics!$F$7:$F$16,RANDBETWEEN(1,ROWS(Sprint_Metrics!$F$7:$F$16)))</f>
        <v>11</v>
      </c>
      <c r="F154" s="29" t="n">
        <f aca="false">INDEX(Sprint_Metrics!$F$7:$F$16,RANDBETWEEN(1,ROWS(Sprint_Metrics!$F$7:$F$16)))</f>
        <v>8</v>
      </c>
      <c r="G154" s="29" t="n">
        <f aca="false">INDEX(Sprint_Metrics!$F$7:$F$16,RANDBETWEEN(1,ROWS(Sprint_Metrics!$F$7:$F$16)))</f>
        <v>7</v>
      </c>
      <c r="H154" s="29" t="n">
        <f aca="false">INDEX(Sprint_Metrics!$F$7:$F$16,RANDBETWEEN(1,ROWS(Sprint_Metrics!$F$7:$F$16)))</f>
        <v>8</v>
      </c>
      <c r="I154" s="29" t="n">
        <f aca="false">INDEX(Sprint_Metrics!$F$7:$F$16,RANDBETWEEN(1,ROWS(Sprint_Metrics!$F$7:$F$16)))</f>
        <v>9</v>
      </c>
      <c r="J154" s="29" t="n">
        <f aca="false">B154</f>
        <v>8</v>
      </c>
      <c r="K154" s="29" t="n">
        <f aca="false">J154+C154</f>
        <v>17</v>
      </c>
      <c r="L154" s="29" t="n">
        <f aca="false">K154+D154</f>
        <v>26</v>
      </c>
      <c r="M154" s="29" t="n">
        <f aca="false">L154+E154</f>
        <v>37</v>
      </c>
      <c r="N154" s="29" t="n">
        <f aca="false">M154+F154</f>
        <v>45</v>
      </c>
      <c r="O154" s="29" t="n">
        <f aca="false">N154+G154</f>
        <v>52</v>
      </c>
      <c r="P154" s="29" t="n">
        <f aca="false">O154+H154</f>
        <v>60</v>
      </c>
      <c r="Q154" s="29" t="n">
        <f aca="false">P154+I154</f>
        <v>69</v>
      </c>
    </row>
    <row r="155" customFormat="false" ht="15" hidden="false" customHeight="false" outlineLevel="0" collapsed="false">
      <c r="A155" s="29" t="n">
        <v>154</v>
      </c>
      <c r="B155" s="29" t="n">
        <f aca="false">INDEX(Sprint_Metrics!$F$7:$F$16,RANDBETWEEN(1,ROWS(Sprint_Metrics!$F$7:$F$16)))</f>
        <v>7</v>
      </c>
      <c r="C155" s="29" t="n">
        <f aca="false">INDEX(Sprint_Metrics!$F$7:$F$16,RANDBETWEEN(1,ROWS(Sprint_Metrics!$F$7:$F$16)))</f>
        <v>11</v>
      </c>
      <c r="D155" s="29" t="n">
        <f aca="false">INDEX(Sprint_Metrics!$F$7:$F$16,RANDBETWEEN(1,ROWS(Sprint_Metrics!$F$7:$F$16)))</f>
        <v>12</v>
      </c>
      <c r="E155" s="29" t="n">
        <f aca="false">INDEX(Sprint_Metrics!$F$7:$F$16,RANDBETWEEN(1,ROWS(Sprint_Metrics!$F$7:$F$16)))</f>
        <v>7</v>
      </c>
      <c r="F155" s="29" t="n">
        <f aca="false">INDEX(Sprint_Metrics!$F$7:$F$16,RANDBETWEEN(1,ROWS(Sprint_Metrics!$F$7:$F$16)))</f>
        <v>8</v>
      </c>
      <c r="G155" s="29" t="n">
        <f aca="false">INDEX(Sprint_Metrics!$F$7:$F$16,RANDBETWEEN(1,ROWS(Sprint_Metrics!$F$7:$F$16)))</f>
        <v>11</v>
      </c>
      <c r="H155" s="29" t="n">
        <f aca="false">INDEX(Sprint_Metrics!$F$7:$F$16,RANDBETWEEN(1,ROWS(Sprint_Metrics!$F$7:$F$16)))</f>
        <v>9</v>
      </c>
      <c r="I155" s="29" t="n">
        <f aca="false">INDEX(Sprint_Metrics!$F$7:$F$16,RANDBETWEEN(1,ROWS(Sprint_Metrics!$F$7:$F$16)))</f>
        <v>11</v>
      </c>
      <c r="J155" s="29" t="n">
        <f aca="false">B155</f>
        <v>7</v>
      </c>
      <c r="K155" s="29" t="n">
        <f aca="false">J155+C155</f>
        <v>18</v>
      </c>
      <c r="L155" s="29" t="n">
        <f aca="false">K155+D155</f>
        <v>30</v>
      </c>
      <c r="M155" s="29" t="n">
        <f aca="false">L155+E155</f>
        <v>37</v>
      </c>
      <c r="N155" s="29" t="n">
        <f aca="false">M155+F155</f>
        <v>45</v>
      </c>
      <c r="O155" s="29" t="n">
        <f aca="false">N155+G155</f>
        <v>56</v>
      </c>
      <c r="P155" s="29" t="n">
        <f aca="false">O155+H155</f>
        <v>65</v>
      </c>
      <c r="Q155" s="29" t="n">
        <f aca="false">P155+I155</f>
        <v>76</v>
      </c>
    </row>
    <row r="156" customFormat="false" ht="15" hidden="false" customHeight="false" outlineLevel="0" collapsed="false">
      <c r="A156" s="29" t="n">
        <v>155</v>
      </c>
      <c r="B156" s="29" t="n">
        <f aca="false">INDEX(Sprint_Metrics!$F$7:$F$16,RANDBETWEEN(1,ROWS(Sprint_Metrics!$F$7:$F$16)))</f>
        <v>12</v>
      </c>
      <c r="C156" s="29" t="n">
        <f aca="false">INDEX(Sprint_Metrics!$F$7:$F$16,RANDBETWEEN(1,ROWS(Sprint_Metrics!$F$7:$F$16)))</f>
        <v>9</v>
      </c>
      <c r="D156" s="29" t="n">
        <f aca="false">INDEX(Sprint_Metrics!$F$7:$F$16,RANDBETWEEN(1,ROWS(Sprint_Metrics!$F$7:$F$16)))</f>
        <v>7</v>
      </c>
      <c r="E156" s="29" t="n">
        <f aca="false">INDEX(Sprint_Metrics!$F$7:$F$16,RANDBETWEEN(1,ROWS(Sprint_Metrics!$F$7:$F$16)))</f>
        <v>8</v>
      </c>
      <c r="F156" s="29" t="n">
        <f aca="false">INDEX(Sprint_Metrics!$F$7:$F$16,RANDBETWEEN(1,ROWS(Sprint_Metrics!$F$7:$F$16)))</f>
        <v>7</v>
      </c>
      <c r="G156" s="29" t="n">
        <f aca="false">INDEX(Sprint_Metrics!$F$7:$F$16,RANDBETWEEN(1,ROWS(Sprint_Metrics!$F$7:$F$16)))</f>
        <v>7</v>
      </c>
      <c r="H156" s="29" t="n">
        <f aca="false">INDEX(Sprint_Metrics!$F$7:$F$16,RANDBETWEEN(1,ROWS(Sprint_Metrics!$F$7:$F$16)))</f>
        <v>12</v>
      </c>
      <c r="I156" s="29" t="n">
        <f aca="false">INDEX(Sprint_Metrics!$F$7:$F$16,RANDBETWEEN(1,ROWS(Sprint_Metrics!$F$7:$F$16)))</f>
        <v>9</v>
      </c>
      <c r="J156" s="29" t="n">
        <f aca="false">B156</f>
        <v>12</v>
      </c>
      <c r="K156" s="29" t="n">
        <f aca="false">J156+C156</f>
        <v>21</v>
      </c>
      <c r="L156" s="29" t="n">
        <f aca="false">K156+D156</f>
        <v>28</v>
      </c>
      <c r="M156" s="29" t="n">
        <f aca="false">L156+E156</f>
        <v>36</v>
      </c>
      <c r="N156" s="29" t="n">
        <f aca="false">M156+F156</f>
        <v>43</v>
      </c>
      <c r="O156" s="29" t="n">
        <f aca="false">N156+G156</f>
        <v>50</v>
      </c>
      <c r="P156" s="29" t="n">
        <f aca="false">O156+H156</f>
        <v>62</v>
      </c>
      <c r="Q156" s="29" t="n">
        <f aca="false">P156+I156</f>
        <v>71</v>
      </c>
    </row>
    <row r="157" customFormat="false" ht="15" hidden="false" customHeight="false" outlineLevel="0" collapsed="false">
      <c r="A157" s="29" t="n">
        <v>156</v>
      </c>
      <c r="B157" s="29" t="n">
        <f aca="false">INDEX(Sprint_Metrics!$F$7:$F$16,RANDBETWEEN(1,ROWS(Sprint_Metrics!$F$7:$F$16)))</f>
        <v>11</v>
      </c>
      <c r="C157" s="29" t="n">
        <f aca="false">INDEX(Sprint_Metrics!$F$7:$F$16,RANDBETWEEN(1,ROWS(Sprint_Metrics!$F$7:$F$16)))</f>
        <v>9</v>
      </c>
      <c r="D157" s="29" t="n">
        <f aca="false">INDEX(Sprint_Metrics!$F$7:$F$16,RANDBETWEEN(1,ROWS(Sprint_Metrics!$F$7:$F$16)))</f>
        <v>11</v>
      </c>
      <c r="E157" s="29" t="n">
        <f aca="false">INDEX(Sprint_Metrics!$F$7:$F$16,RANDBETWEEN(1,ROWS(Sprint_Metrics!$F$7:$F$16)))</f>
        <v>11</v>
      </c>
      <c r="F157" s="29" t="n">
        <f aca="false">INDEX(Sprint_Metrics!$F$7:$F$16,RANDBETWEEN(1,ROWS(Sprint_Metrics!$F$7:$F$16)))</f>
        <v>8</v>
      </c>
      <c r="G157" s="29" t="n">
        <f aca="false">INDEX(Sprint_Metrics!$F$7:$F$16,RANDBETWEEN(1,ROWS(Sprint_Metrics!$F$7:$F$16)))</f>
        <v>12</v>
      </c>
      <c r="H157" s="29" t="n">
        <f aca="false">INDEX(Sprint_Metrics!$F$7:$F$16,RANDBETWEEN(1,ROWS(Sprint_Metrics!$F$7:$F$16)))</f>
        <v>9</v>
      </c>
      <c r="I157" s="29" t="n">
        <f aca="false">INDEX(Sprint_Metrics!$F$7:$F$16,RANDBETWEEN(1,ROWS(Sprint_Metrics!$F$7:$F$16)))</f>
        <v>8</v>
      </c>
      <c r="J157" s="29" t="n">
        <f aca="false">B157</f>
        <v>11</v>
      </c>
      <c r="K157" s="29" t="n">
        <f aca="false">J157+C157</f>
        <v>20</v>
      </c>
      <c r="L157" s="29" t="n">
        <f aca="false">K157+D157</f>
        <v>31</v>
      </c>
      <c r="M157" s="29" t="n">
        <f aca="false">L157+E157</f>
        <v>42</v>
      </c>
      <c r="N157" s="29" t="n">
        <f aca="false">M157+F157</f>
        <v>50</v>
      </c>
      <c r="O157" s="29" t="n">
        <f aca="false">N157+G157</f>
        <v>62</v>
      </c>
      <c r="P157" s="29" t="n">
        <f aca="false">O157+H157</f>
        <v>71</v>
      </c>
      <c r="Q157" s="29" t="n">
        <f aca="false">P157+I157</f>
        <v>79</v>
      </c>
    </row>
    <row r="158" customFormat="false" ht="15" hidden="false" customHeight="false" outlineLevel="0" collapsed="false">
      <c r="A158" s="29" t="n">
        <v>157</v>
      </c>
      <c r="B158" s="29" t="n">
        <f aca="false">INDEX(Sprint_Metrics!$F$7:$F$16,RANDBETWEEN(1,ROWS(Sprint_Metrics!$F$7:$F$16)))</f>
        <v>7</v>
      </c>
      <c r="C158" s="29" t="n">
        <f aca="false">INDEX(Sprint_Metrics!$F$7:$F$16,RANDBETWEEN(1,ROWS(Sprint_Metrics!$F$7:$F$16)))</f>
        <v>8</v>
      </c>
      <c r="D158" s="29" t="n">
        <f aca="false">INDEX(Sprint_Metrics!$F$7:$F$16,RANDBETWEEN(1,ROWS(Sprint_Metrics!$F$7:$F$16)))</f>
        <v>8</v>
      </c>
      <c r="E158" s="29" t="n">
        <f aca="false">INDEX(Sprint_Metrics!$F$7:$F$16,RANDBETWEEN(1,ROWS(Sprint_Metrics!$F$7:$F$16)))</f>
        <v>8</v>
      </c>
      <c r="F158" s="29" t="n">
        <f aca="false">INDEX(Sprint_Metrics!$F$7:$F$16,RANDBETWEEN(1,ROWS(Sprint_Metrics!$F$7:$F$16)))</f>
        <v>11</v>
      </c>
      <c r="G158" s="29" t="n">
        <f aca="false">INDEX(Sprint_Metrics!$F$7:$F$16,RANDBETWEEN(1,ROWS(Sprint_Metrics!$F$7:$F$16)))</f>
        <v>7</v>
      </c>
      <c r="H158" s="29" t="n">
        <f aca="false">INDEX(Sprint_Metrics!$F$7:$F$16,RANDBETWEEN(1,ROWS(Sprint_Metrics!$F$7:$F$16)))</f>
        <v>8</v>
      </c>
      <c r="I158" s="29" t="n">
        <f aca="false">INDEX(Sprint_Metrics!$F$7:$F$16,RANDBETWEEN(1,ROWS(Sprint_Metrics!$F$7:$F$16)))</f>
        <v>8</v>
      </c>
      <c r="J158" s="29" t="n">
        <f aca="false">B158</f>
        <v>7</v>
      </c>
      <c r="K158" s="29" t="n">
        <f aca="false">J158+C158</f>
        <v>15</v>
      </c>
      <c r="L158" s="29" t="n">
        <f aca="false">K158+D158</f>
        <v>23</v>
      </c>
      <c r="M158" s="29" t="n">
        <f aca="false">L158+E158</f>
        <v>31</v>
      </c>
      <c r="N158" s="29" t="n">
        <f aca="false">M158+F158</f>
        <v>42</v>
      </c>
      <c r="O158" s="29" t="n">
        <f aca="false">N158+G158</f>
        <v>49</v>
      </c>
      <c r="P158" s="29" t="n">
        <f aca="false">O158+H158</f>
        <v>57</v>
      </c>
      <c r="Q158" s="29" t="n">
        <f aca="false">P158+I158</f>
        <v>65</v>
      </c>
    </row>
    <row r="159" customFormat="false" ht="15" hidden="false" customHeight="false" outlineLevel="0" collapsed="false">
      <c r="A159" s="29" t="n">
        <v>158</v>
      </c>
      <c r="B159" s="29" t="n">
        <f aca="false">INDEX(Sprint_Metrics!$F$7:$F$16,RANDBETWEEN(1,ROWS(Sprint_Metrics!$F$7:$F$16)))</f>
        <v>11</v>
      </c>
      <c r="C159" s="29" t="n">
        <f aca="false">INDEX(Sprint_Metrics!$F$7:$F$16,RANDBETWEEN(1,ROWS(Sprint_Metrics!$F$7:$F$16)))</f>
        <v>9</v>
      </c>
      <c r="D159" s="29" t="n">
        <f aca="false">INDEX(Sprint_Metrics!$F$7:$F$16,RANDBETWEEN(1,ROWS(Sprint_Metrics!$F$7:$F$16)))</f>
        <v>8</v>
      </c>
      <c r="E159" s="29" t="n">
        <f aca="false">INDEX(Sprint_Metrics!$F$7:$F$16,RANDBETWEEN(1,ROWS(Sprint_Metrics!$F$7:$F$16)))</f>
        <v>7</v>
      </c>
      <c r="F159" s="29" t="n">
        <f aca="false">INDEX(Sprint_Metrics!$F$7:$F$16,RANDBETWEEN(1,ROWS(Sprint_Metrics!$F$7:$F$16)))</f>
        <v>8</v>
      </c>
      <c r="G159" s="29" t="n">
        <f aca="false">INDEX(Sprint_Metrics!$F$7:$F$16,RANDBETWEEN(1,ROWS(Sprint_Metrics!$F$7:$F$16)))</f>
        <v>7</v>
      </c>
      <c r="H159" s="29" t="n">
        <f aca="false">INDEX(Sprint_Metrics!$F$7:$F$16,RANDBETWEEN(1,ROWS(Sprint_Metrics!$F$7:$F$16)))</f>
        <v>7</v>
      </c>
      <c r="I159" s="29" t="n">
        <f aca="false">INDEX(Sprint_Metrics!$F$7:$F$16,RANDBETWEEN(1,ROWS(Sprint_Metrics!$F$7:$F$16)))</f>
        <v>11</v>
      </c>
      <c r="J159" s="29" t="n">
        <f aca="false">B159</f>
        <v>11</v>
      </c>
      <c r="K159" s="29" t="n">
        <f aca="false">J159+C159</f>
        <v>20</v>
      </c>
      <c r="L159" s="29" t="n">
        <f aca="false">K159+D159</f>
        <v>28</v>
      </c>
      <c r="M159" s="29" t="n">
        <f aca="false">L159+E159</f>
        <v>35</v>
      </c>
      <c r="N159" s="29" t="n">
        <f aca="false">M159+F159</f>
        <v>43</v>
      </c>
      <c r="O159" s="29" t="n">
        <f aca="false">N159+G159</f>
        <v>50</v>
      </c>
      <c r="P159" s="29" t="n">
        <f aca="false">O159+H159</f>
        <v>57</v>
      </c>
      <c r="Q159" s="29" t="n">
        <f aca="false">P159+I159</f>
        <v>68</v>
      </c>
    </row>
    <row r="160" customFormat="false" ht="15" hidden="false" customHeight="false" outlineLevel="0" collapsed="false">
      <c r="A160" s="29" t="n">
        <v>159</v>
      </c>
      <c r="B160" s="29" t="n">
        <f aca="false">INDEX(Sprint_Metrics!$F$7:$F$16,RANDBETWEEN(1,ROWS(Sprint_Metrics!$F$7:$F$16)))</f>
        <v>7</v>
      </c>
      <c r="C160" s="29" t="n">
        <f aca="false">INDEX(Sprint_Metrics!$F$7:$F$16,RANDBETWEEN(1,ROWS(Sprint_Metrics!$F$7:$F$16)))</f>
        <v>11</v>
      </c>
      <c r="D160" s="29" t="n">
        <f aca="false">INDEX(Sprint_Metrics!$F$7:$F$16,RANDBETWEEN(1,ROWS(Sprint_Metrics!$F$7:$F$16)))</f>
        <v>7</v>
      </c>
      <c r="E160" s="29" t="n">
        <f aca="false">INDEX(Sprint_Metrics!$F$7:$F$16,RANDBETWEEN(1,ROWS(Sprint_Metrics!$F$7:$F$16)))</f>
        <v>8</v>
      </c>
      <c r="F160" s="29" t="n">
        <f aca="false">INDEX(Sprint_Metrics!$F$7:$F$16,RANDBETWEEN(1,ROWS(Sprint_Metrics!$F$7:$F$16)))</f>
        <v>11</v>
      </c>
      <c r="G160" s="29" t="n">
        <f aca="false">INDEX(Sprint_Metrics!$F$7:$F$16,RANDBETWEEN(1,ROWS(Sprint_Metrics!$F$7:$F$16)))</f>
        <v>8</v>
      </c>
      <c r="H160" s="29" t="n">
        <f aca="false">INDEX(Sprint_Metrics!$F$7:$F$16,RANDBETWEEN(1,ROWS(Sprint_Metrics!$F$7:$F$16)))</f>
        <v>7</v>
      </c>
      <c r="I160" s="29" t="n">
        <f aca="false">INDEX(Sprint_Metrics!$F$7:$F$16,RANDBETWEEN(1,ROWS(Sprint_Metrics!$F$7:$F$16)))</f>
        <v>12</v>
      </c>
      <c r="J160" s="29" t="n">
        <f aca="false">B160</f>
        <v>7</v>
      </c>
      <c r="K160" s="29" t="n">
        <f aca="false">J160+C160</f>
        <v>18</v>
      </c>
      <c r="L160" s="29" t="n">
        <f aca="false">K160+D160</f>
        <v>25</v>
      </c>
      <c r="M160" s="29" t="n">
        <f aca="false">L160+E160</f>
        <v>33</v>
      </c>
      <c r="N160" s="29" t="n">
        <f aca="false">M160+F160</f>
        <v>44</v>
      </c>
      <c r="O160" s="29" t="n">
        <f aca="false">N160+G160</f>
        <v>52</v>
      </c>
      <c r="P160" s="29" t="n">
        <f aca="false">O160+H160</f>
        <v>59</v>
      </c>
      <c r="Q160" s="29" t="n">
        <f aca="false">P160+I160</f>
        <v>71</v>
      </c>
    </row>
    <row r="161" customFormat="false" ht="15" hidden="false" customHeight="false" outlineLevel="0" collapsed="false">
      <c r="A161" s="29" t="n">
        <v>160</v>
      </c>
      <c r="B161" s="29" t="n">
        <f aca="false">INDEX(Sprint_Metrics!$F$7:$F$16,RANDBETWEEN(1,ROWS(Sprint_Metrics!$F$7:$F$16)))</f>
        <v>12</v>
      </c>
      <c r="C161" s="29" t="n">
        <f aca="false">INDEX(Sprint_Metrics!$F$7:$F$16,RANDBETWEEN(1,ROWS(Sprint_Metrics!$F$7:$F$16)))</f>
        <v>7</v>
      </c>
      <c r="D161" s="29" t="n">
        <f aca="false">INDEX(Sprint_Metrics!$F$7:$F$16,RANDBETWEEN(1,ROWS(Sprint_Metrics!$F$7:$F$16)))</f>
        <v>8</v>
      </c>
      <c r="E161" s="29" t="n">
        <f aca="false">INDEX(Sprint_Metrics!$F$7:$F$16,RANDBETWEEN(1,ROWS(Sprint_Metrics!$F$7:$F$16)))</f>
        <v>7</v>
      </c>
      <c r="F161" s="29" t="n">
        <f aca="false">INDEX(Sprint_Metrics!$F$7:$F$16,RANDBETWEEN(1,ROWS(Sprint_Metrics!$F$7:$F$16)))</f>
        <v>12</v>
      </c>
      <c r="G161" s="29" t="n">
        <f aca="false">INDEX(Sprint_Metrics!$F$7:$F$16,RANDBETWEEN(1,ROWS(Sprint_Metrics!$F$7:$F$16)))</f>
        <v>11</v>
      </c>
      <c r="H161" s="29" t="n">
        <f aca="false">INDEX(Sprint_Metrics!$F$7:$F$16,RANDBETWEEN(1,ROWS(Sprint_Metrics!$F$7:$F$16)))</f>
        <v>7</v>
      </c>
      <c r="I161" s="29" t="n">
        <f aca="false">INDEX(Sprint_Metrics!$F$7:$F$16,RANDBETWEEN(1,ROWS(Sprint_Metrics!$F$7:$F$16)))</f>
        <v>7</v>
      </c>
      <c r="J161" s="29" t="n">
        <f aca="false">B161</f>
        <v>12</v>
      </c>
      <c r="K161" s="29" t="n">
        <f aca="false">J161+C161</f>
        <v>19</v>
      </c>
      <c r="L161" s="29" t="n">
        <f aca="false">K161+D161</f>
        <v>27</v>
      </c>
      <c r="M161" s="29" t="n">
        <f aca="false">L161+E161</f>
        <v>34</v>
      </c>
      <c r="N161" s="29" t="n">
        <f aca="false">M161+F161</f>
        <v>46</v>
      </c>
      <c r="O161" s="29" t="n">
        <f aca="false">N161+G161</f>
        <v>57</v>
      </c>
      <c r="P161" s="29" t="n">
        <f aca="false">O161+H161</f>
        <v>64</v>
      </c>
      <c r="Q161" s="29" t="n">
        <f aca="false">P161+I161</f>
        <v>71</v>
      </c>
    </row>
    <row r="162" customFormat="false" ht="15" hidden="false" customHeight="false" outlineLevel="0" collapsed="false">
      <c r="A162" s="29" t="n">
        <v>161</v>
      </c>
      <c r="B162" s="29" t="n">
        <f aca="false">INDEX(Sprint_Metrics!$F$7:$F$16,RANDBETWEEN(1,ROWS(Sprint_Metrics!$F$7:$F$16)))</f>
        <v>8</v>
      </c>
      <c r="C162" s="29" t="n">
        <f aca="false">INDEX(Sprint_Metrics!$F$7:$F$16,RANDBETWEEN(1,ROWS(Sprint_Metrics!$F$7:$F$16)))</f>
        <v>11</v>
      </c>
      <c r="D162" s="29" t="n">
        <f aca="false">INDEX(Sprint_Metrics!$F$7:$F$16,RANDBETWEEN(1,ROWS(Sprint_Metrics!$F$7:$F$16)))</f>
        <v>8</v>
      </c>
      <c r="E162" s="29" t="n">
        <f aca="false">INDEX(Sprint_Metrics!$F$7:$F$16,RANDBETWEEN(1,ROWS(Sprint_Metrics!$F$7:$F$16)))</f>
        <v>8</v>
      </c>
      <c r="F162" s="29" t="n">
        <f aca="false">INDEX(Sprint_Metrics!$F$7:$F$16,RANDBETWEEN(1,ROWS(Sprint_Metrics!$F$7:$F$16)))</f>
        <v>9</v>
      </c>
      <c r="G162" s="29" t="n">
        <f aca="false">INDEX(Sprint_Metrics!$F$7:$F$16,RANDBETWEEN(1,ROWS(Sprint_Metrics!$F$7:$F$16)))</f>
        <v>9</v>
      </c>
      <c r="H162" s="29" t="n">
        <f aca="false">INDEX(Sprint_Metrics!$F$7:$F$16,RANDBETWEEN(1,ROWS(Sprint_Metrics!$F$7:$F$16)))</f>
        <v>8</v>
      </c>
      <c r="I162" s="29" t="n">
        <f aca="false">INDEX(Sprint_Metrics!$F$7:$F$16,RANDBETWEEN(1,ROWS(Sprint_Metrics!$F$7:$F$16)))</f>
        <v>8</v>
      </c>
      <c r="J162" s="29" t="n">
        <f aca="false">B162</f>
        <v>8</v>
      </c>
      <c r="K162" s="29" t="n">
        <f aca="false">J162+C162</f>
        <v>19</v>
      </c>
      <c r="L162" s="29" t="n">
        <f aca="false">K162+D162</f>
        <v>27</v>
      </c>
      <c r="M162" s="29" t="n">
        <f aca="false">L162+E162</f>
        <v>35</v>
      </c>
      <c r="N162" s="29" t="n">
        <f aca="false">M162+F162</f>
        <v>44</v>
      </c>
      <c r="O162" s="29" t="n">
        <f aca="false">N162+G162</f>
        <v>53</v>
      </c>
      <c r="P162" s="29" t="n">
        <f aca="false">O162+H162</f>
        <v>61</v>
      </c>
      <c r="Q162" s="29" t="n">
        <f aca="false">P162+I162</f>
        <v>69</v>
      </c>
    </row>
    <row r="163" customFormat="false" ht="15" hidden="false" customHeight="false" outlineLevel="0" collapsed="false">
      <c r="A163" s="29" t="n">
        <v>162</v>
      </c>
      <c r="B163" s="29" t="n">
        <f aca="false">INDEX(Sprint_Metrics!$F$7:$F$16,RANDBETWEEN(1,ROWS(Sprint_Metrics!$F$7:$F$16)))</f>
        <v>12</v>
      </c>
      <c r="C163" s="29" t="n">
        <f aca="false">INDEX(Sprint_Metrics!$F$7:$F$16,RANDBETWEEN(1,ROWS(Sprint_Metrics!$F$7:$F$16)))</f>
        <v>7</v>
      </c>
      <c r="D163" s="29" t="n">
        <f aca="false">INDEX(Sprint_Metrics!$F$7:$F$16,RANDBETWEEN(1,ROWS(Sprint_Metrics!$F$7:$F$16)))</f>
        <v>7</v>
      </c>
      <c r="E163" s="29" t="n">
        <f aca="false">INDEX(Sprint_Metrics!$F$7:$F$16,RANDBETWEEN(1,ROWS(Sprint_Metrics!$F$7:$F$16)))</f>
        <v>7</v>
      </c>
      <c r="F163" s="29" t="n">
        <f aca="false">INDEX(Sprint_Metrics!$F$7:$F$16,RANDBETWEEN(1,ROWS(Sprint_Metrics!$F$7:$F$16)))</f>
        <v>9</v>
      </c>
      <c r="G163" s="29" t="n">
        <f aca="false">INDEX(Sprint_Metrics!$F$7:$F$16,RANDBETWEEN(1,ROWS(Sprint_Metrics!$F$7:$F$16)))</f>
        <v>12</v>
      </c>
      <c r="H163" s="29" t="n">
        <f aca="false">INDEX(Sprint_Metrics!$F$7:$F$16,RANDBETWEEN(1,ROWS(Sprint_Metrics!$F$7:$F$16)))</f>
        <v>11</v>
      </c>
      <c r="I163" s="29" t="n">
        <f aca="false">INDEX(Sprint_Metrics!$F$7:$F$16,RANDBETWEEN(1,ROWS(Sprint_Metrics!$F$7:$F$16)))</f>
        <v>12</v>
      </c>
      <c r="J163" s="29" t="n">
        <f aca="false">B163</f>
        <v>12</v>
      </c>
      <c r="K163" s="29" t="n">
        <f aca="false">J163+C163</f>
        <v>19</v>
      </c>
      <c r="L163" s="29" t="n">
        <f aca="false">K163+D163</f>
        <v>26</v>
      </c>
      <c r="M163" s="29" t="n">
        <f aca="false">L163+E163</f>
        <v>33</v>
      </c>
      <c r="N163" s="29" t="n">
        <f aca="false">M163+F163</f>
        <v>42</v>
      </c>
      <c r="O163" s="29" t="n">
        <f aca="false">N163+G163</f>
        <v>54</v>
      </c>
      <c r="P163" s="29" t="n">
        <f aca="false">O163+H163</f>
        <v>65</v>
      </c>
      <c r="Q163" s="29" t="n">
        <f aca="false">P163+I163</f>
        <v>77</v>
      </c>
    </row>
    <row r="164" customFormat="false" ht="15" hidden="false" customHeight="false" outlineLevel="0" collapsed="false">
      <c r="A164" s="29" t="n">
        <v>163</v>
      </c>
      <c r="B164" s="29" t="n">
        <f aca="false">INDEX(Sprint_Metrics!$F$7:$F$16,RANDBETWEEN(1,ROWS(Sprint_Metrics!$F$7:$F$16)))</f>
        <v>8</v>
      </c>
      <c r="C164" s="29" t="n">
        <f aca="false">INDEX(Sprint_Metrics!$F$7:$F$16,RANDBETWEEN(1,ROWS(Sprint_Metrics!$F$7:$F$16)))</f>
        <v>11</v>
      </c>
      <c r="D164" s="29" t="n">
        <f aca="false">INDEX(Sprint_Metrics!$F$7:$F$16,RANDBETWEEN(1,ROWS(Sprint_Metrics!$F$7:$F$16)))</f>
        <v>8</v>
      </c>
      <c r="E164" s="29" t="n">
        <f aca="false">INDEX(Sprint_Metrics!$F$7:$F$16,RANDBETWEEN(1,ROWS(Sprint_Metrics!$F$7:$F$16)))</f>
        <v>11</v>
      </c>
      <c r="F164" s="29" t="n">
        <f aca="false">INDEX(Sprint_Metrics!$F$7:$F$16,RANDBETWEEN(1,ROWS(Sprint_Metrics!$F$7:$F$16)))</f>
        <v>9</v>
      </c>
      <c r="G164" s="29" t="n">
        <f aca="false">INDEX(Sprint_Metrics!$F$7:$F$16,RANDBETWEEN(1,ROWS(Sprint_Metrics!$F$7:$F$16)))</f>
        <v>7</v>
      </c>
      <c r="H164" s="29" t="n">
        <f aca="false">INDEX(Sprint_Metrics!$F$7:$F$16,RANDBETWEEN(1,ROWS(Sprint_Metrics!$F$7:$F$16)))</f>
        <v>8</v>
      </c>
      <c r="I164" s="29" t="n">
        <f aca="false">INDEX(Sprint_Metrics!$F$7:$F$16,RANDBETWEEN(1,ROWS(Sprint_Metrics!$F$7:$F$16)))</f>
        <v>8</v>
      </c>
      <c r="J164" s="29" t="n">
        <f aca="false">B164</f>
        <v>8</v>
      </c>
      <c r="K164" s="29" t="n">
        <f aca="false">J164+C164</f>
        <v>19</v>
      </c>
      <c r="L164" s="29" t="n">
        <f aca="false">K164+D164</f>
        <v>27</v>
      </c>
      <c r="M164" s="29" t="n">
        <f aca="false">L164+E164</f>
        <v>38</v>
      </c>
      <c r="N164" s="29" t="n">
        <f aca="false">M164+F164</f>
        <v>47</v>
      </c>
      <c r="O164" s="29" t="n">
        <f aca="false">N164+G164</f>
        <v>54</v>
      </c>
      <c r="P164" s="29" t="n">
        <f aca="false">O164+H164</f>
        <v>62</v>
      </c>
      <c r="Q164" s="29" t="n">
        <f aca="false">P164+I164</f>
        <v>70</v>
      </c>
    </row>
    <row r="165" customFormat="false" ht="15" hidden="false" customHeight="false" outlineLevel="0" collapsed="false">
      <c r="A165" s="29" t="n">
        <v>164</v>
      </c>
      <c r="B165" s="29" t="n">
        <f aca="false">INDEX(Sprint_Metrics!$F$7:$F$16,RANDBETWEEN(1,ROWS(Sprint_Metrics!$F$7:$F$16)))</f>
        <v>9</v>
      </c>
      <c r="C165" s="29" t="n">
        <f aca="false">INDEX(Sprint_Metrics!$F$7:$F$16,RANDBETWEEN(1,ROWS(Sprint_Metrics!$F$7:$F$16)))</f>
        <v>11</v>
      </c>
      <c r="D165" s="29" t="n">
        <f aca="false">INDEX(Sprint_Metrics!$F$7:$F$16,RANDBETWEEN(1,ROWS(Sprint_Metrics!$F$7:$F$16)))</f>
        <v>9</v>
      </c>
      <c r="E165" s="29" t="n">
        <f aca="false">INDEX(Sprint_Metrics!$F$7:$F$16,RANDBETWEEN(1,ROWS(Sprint_Metrics!$F$7:$F$16)))</f>
        <v>9</v>
      </c>
      <c r="F165" s="29" t="n">
        <f aca="false">INDEX(Sprint_Metrics!$F$7:$F$16,RANDBETWEEN(1,ROWS(Sprint_Metrics!$F$7:$F$16)))</f>
        <v>8</v>
      </c>
      <c r="G165" s="29" t="n">
        <f aca="false">INDEX(Sprint_Metrics!$F$7:$F$16,RANDBETWEEN(1,ROWS(Sprint_Metrics!$F$7:$F$16)))</f>
        <v>9</v>
      </c>
      <c r="H165" s="29" t="n">
        <f aca="false">INDEX(Sprint_Metrics!$F$7:$F$16,RANDBETWEEN(1,ROWS(Sprint_Metrics!$F$7:$F$16)))</f>
        <v>8</v>
      </c>
      <c r="I165" s="29" t="n">
        <f aca="false">INDEX(Sprint_Metrics!$F$7:$F$16,RANDBETWEEN(1,ROWS(Sprint_Metrics!$F$7:$F$16)))</f>
        <v>9</v>
      </c>
      <c r="J165" s="29" t="n">
        <f aca="false">B165</f>
        <v>9</v>
      </c>
      <c r="K165" s="29" t="n">
        <f aca="false">J165+C165</f>
        <v>20</v>
      </c>
      <c r="L165" s="29" t="n">
        <f aca="false">K165+D165</f>
        <v>29</v>
      </c>
      <c r="M165" s="29" t="n">
        <f aca="false">L165+E165</f>
        <v>38</v>
      </c>
      <c r="N165" s="29" t="n">
        <f aca="false">M165+F165</f>
        <v>46</v>
      </c>
      <c r="O165" s="29" t="n">
        <f aca="false">N165+G165</f>
        <v>55</v>
      </c>
      <c r="P165" s="29" t="n">
        <f aca="false">O165+H165</f>
        <v>63</v>
      </c>
      <c r="Q165" s="29" t="n">
        <f aca="false">P165+I165</f>
        <v>72</v>
      </c>
    </row>
    <row r="166" customFormat="false" ht="15" hidden="false" customHeight="false" outlineLevel="0" collapsed="false">
      <c r="A166" s="29" t="n">
        <v>165</v>
      </c>
      <c r="B166" s="29" t="n">
        <f aca="false">INDEX(Sprint_Metrics!$F$7:$F$16,RANDBETWEEN(1,ROWS(Sprint_Metrics!$F$7:$F$16)))</f>
        <v>11</v>
      </c>
      <c r="C166" s="29" t="n">
        <f aca="false">INDEX(Sprint_Metrics!$F$7:$F$16,RANDBETWEEN(1,ROWS(Sprint_Metrics!$F$7:$F$16)))</f>
        <v>12</v>
      </c>
      <c r="D166" s="29" t="n">
        <f aca="false">INDEX(Sprint_Metrics!$F$7:$F$16,RANDBETWEEN(1,ROWS(Sprint_Metrics!$F$7:$F$16)))</f>
        <v>8</v>
      </c>
      <c r="E166" s="29" t="n">
        <f aca="false">INDEX(Sprint_Metrics!$F$7:$F$16,RANDBETWEEN(1,ROWS(Sprint_Metrics!$F$7:$F$16)))</f>
        <v>7</v>
      </c>
      <c r="F166" s="29" t="n">
        <f aca="false">INDEX(Sprint_Metrics!$F$7:$F$16,RANDBETWEEN(1,ROWS(Sprint_Metrics!$F$7:$F$16)))</f>
        <v>11</v>
      </c>
      <c r="G166" s="29" t="n">
        <f aca="false">INDEX(Sprint_Metrics!$F$7:$F$16,RANDBETWEEN(1,ROWS(Sprint_Metrics!$F$7:$F$16)))</f>
        <v>11</v>
      </c>
      <c r="H166" s="29" t="n">
        <f aca="false">INDEX(Sprint_Metrics!$F$7:$F$16,RANDBETWEEN(1,ROWS(Sprint_Metrics!$F$7:$F$16)))</f>
        <v>8</v>
      </c>
      <c r="I166" s="29" t="n">
        <f aca="false">INDEX(Sprint_Metrics!$F$7:$F$16,RANDBETWEEN(1,ROWS(Sprint_Metrics!$F$7:$F$16)))</f>
        <v>8</v>
      </c>
      <c r="J166" s="29" t="n">
        <f aca="false">B166</f>
        <v>11</v>
      </c>
      <c r="K166" s="29" t="n">
        <f aca="false">J166+C166</f>
        <v>23</v>
      </c>
      <c r="L166" s="29" t="n">
        <f aca="false">K166+D166</f>
        <v>31</v>
      </c>
      <c r="M166" s="29" t="n">
        <f aca="false">L166+E166</f>
        <v>38</v>
      </c>
      <c r="N166" s="29" t="n">
        <f aca="false">M166+F166</f>
        <v>49</v>
      </c>
      <c r="O166" s="29" t="n">
        <f aca="false">N166+G166</f>
        <v>60</v>
      </c>
      <c r="P166" s="29" t="n">
        <f aca="false">O166+H166</f>
        <v>68</v>
      </c>
      <c r="Q166" s="29" t="n">
        <f aca="false">P166+I166</f>
        <v>76</v>
      </c>
    </row>
    <row r="167" customFormat="false" ht="15" hidden="false" customHeight="false" outlineLevel="0" collapsed="false">
      <c r="A167" s="29" t="n">
        <v>166</v>
      </c>
      <c r="B167" s="29" t="n">
        <f aca="false">INDEX(Sprint_Metrics!$F$7:$F$16,RANDBETWEEN(1,ROWS(Sprint_Metrics!$F$7:$F$16)))</f>
        <v>11</v>
      </c>
      <c r="C167" s="29" t="n">
        <f aca="false">INDEX(Sprint_Metrics!$F$7:$F$16,RANDBETWEEN(1,ROWS(Sprint_Metrics!$F$7:$F$16)))</f>
        <v>11</v>
      </c>
      <c r="D167" s="29" t="n">
        <f aca="false">INDEX(Sprint_Metrics!$F$7:$F$16,RANDBETWEEN(1,ROWS(Sprint_Metrics!$F$7:$F$16)))</f>
        <v>11</v>
      </c>
      <c r="E167" s="29" t="n">
        <f aca="false">INDEX(Sprint_Metrics!$F$7:$F$16,RANDBETWEEN(1,ROWS(Sprint_Metrics!$F$7:$F$16)))</f>
        <v>7</v>
      </c>
      <c r="F167" s="29" t="n">
        <f aca="false">INDEX(Sprint_Metrics!$F$7:$F$16,RANDBETWEEN(1,ROWS(Sprint_Metrics!$F$7:$F$16)))</f>
        <v>9</v>
      </c>
      <c r="G167" s="29" t="n">
        <f aca="false">INDEX(Sprint_Metrics!$F$7:$F$16,RANDBETWEEN(1,ROWS(Sprint_Metrics!$F$7:$F$16)))</f>
        <v>8</v>
      </c>
      <c r="H167" s="29" t="n">
        <f aca="false">INDEX(Sprint_Metrics!$F$7:$F$16,RANDBETWEEN(1,ROWS(Sprint_Metrics!$F$7:$F$16)))</f>
        <v>11</v>
      </c>
      <c r="I167" s="29" t="n">
        <f aca="false">INDEX(Sprint_Metrics!$F$7:$F$16,RANDBETWEEN(1,ROWS(Sprint_Metrics!$F$7:$F$16)))</f>
        <v>8</v>
      </c>
      <c r="J167" s="29" t="n">
        <f aca="false">B167</f>
        <v>11</v>
      </c>
      <c r="K167" s="29" t="n">
        <f aca="false">J167+C167</f>
        <v>22</v>
      </c>
      <c r="L167" s="29" t="n">
        <f aca="false">K167+D167</f>
        <v>33</v>
      </c>
      <c r="M167" s="29" t="n">
        <f aca="false">L167+E167</f>
        <v>40</v>
      </c>
      <c r="N167" s="29" t="n">
        <f aca="false">M167+F167</f>
        <v>49</v>
      </c>
      <c r="O167" s="29" t="n">
        <f aca="false">N167+G167</f>
        <v>57</v>
      </c>
      <c r="P167" s="29" t="n">
        <f aca="false">O167+H167</f>
        <v>68</v>
      </c>
      <c r="Q167" s="29" t="n">
        <f aca="false">P167+I167</f>
        <v>76</v>
      </c>
    </row>
    <row r="168" customFormat="false" ht="15" hidden="false" customHeight="false" outlineLevel="0" collapsed="false">
      <c r="A168" s="29" t="n">
        <v>167</v>
      </c>
      <c r="B168" s="29" t="n">
        <f aca="false">INDEX(Sprint_Metrics!$F$7:$F$16,RANDBETWEEN(1,ROWS(Sprint_Metrics!$F$7:$F$16)))</f>
        <v>9</v>
      </c>
      <c r="C168" s="29" t="n">
        <f aca="false">INDEX(Sprint_Metrics!$F$7:$F$16,RANDBETWEEN(1,ROWS(Sprint_Metrics!$F$7:$F$16)))</f>
        <v>8</v>
      </c>
      <c r="D168" s="29" t="n">
        <f aca="false">INDEX(Sprint_Metrics!$F$7:$F$16,RANDBETWEEN(1,ROWS(Sprint_Metrics!$F$7:$F$16)))</f>
        <v>7</v>
      </c>
      <c r="E168" s="29" t="n">
        <f aca="false">INDEX(Sprint_Metrics!$F$7:$F$16,RANDBETWEEN(1,ROWS(Sprint_Metrics!$F$7:$F$16)))</f>
        <v>11</v>
      </c>
      <c r="F168" s="29" t="n">
        <f aca="false">INDEX(Sprint_Metrics!$F$7:$F$16,RANDBETWEEN(1,ROWS(Sprint_Metrics!$F$7:$F$16)))</f>
        <v>12</v>
      </c>
      <c r="G168" s="29" t="n">
        <f aca="false">INDEX(Sprint_Metrics!$F$7:$F$16,RANDBETWEEN(1,ROWS(Sprint_Metrics!$F$7:$F$16)))</f>
        <v>8</v>
      </c>
      <c r="H168" s="29" t="n">
        <f aca="false">INDEX(Sprint_Metrics!$F$7:$F$16,RANDBETWEEN(1,ROWS(Sprint_Metrics!$F$7:$F$16)))</f>
        <v>7</v>
      </c>
      <c r="I168" s="29" t="n">
        <f aca="false">INDEX(Sprint_Metrics!$F$7:$F$16,RANDBETWEEN(1,ROWS(Sprint_Metrics!$F$7:$F$16)))</f>
        <v>12</v>
      </c>
      <c r="J168" s="29" t="n">
        <f aca="false">B168</f>
        <v>9</v>
      </c>
      <c r="K168" s="29" t="n">
        <f aca="false">J168+C168</f>
        <v>17</v>
      </c>
      <c r="L168" s="29" t="n">
        <f aca="false">K168+D168</f>
        <v>24</v>
      </c>
      <c r="M168" s="29" t="n">
        <f aca="false">L168+E168</f>
        <v>35</v>
      </c>
      <c r="N168" s="29" t="n">
        <f aca="false">M168+F168</f>
        <v>47</v>
      </c>
      <c r="O168" s="29" t="n">
        <f aca="false">N168+G168</f>
        <v>55</v>
      </c>
      <c r="P168" s="29" t="n">
        <f aca="false">O168+H168</f>
        <v>62</v>
      </c>
      <c r="Q168" s="29" t="n">
        <f aca="false">P168+I168</f>
        <v>74</v>
      </c>
    </row>
    <row r="169" customFormat="false" ht="15" hidden="false" customHeight="false" outlineLevel="0" collapsed="false">
      <c r="A169" s="29" t="n">
        <v>168</v>
      </c>
      <c r="B169" s="29" t="n">
        <f aca="false">INDEX(Sprint_Metrics!$F$7:$F$16,RANDBETWEEN(1,ROWS(Sprint_Metrics!$F$7:$F$16)))</f>
        <v>8</v>
      </c>
      <c r="C169" s="29" t="n">
        <f aca="false">INDEX(Sprint_Metrics!$F$7:$F$16,RANDBETWEEN(1,ROWS(Sprint_Metrics!$F$7:$F$16)))</f>
        <v>12</v>
      </c>
      <c r="D169" s="29" t="n">
        <f aca="false">INDEX(Sprint_Metrics!$F$7:$F$16,RANDBETWEEN(1,ROWS(Sprint_Metrics!$F$7:$F$16)))</f>
        <v>7</v>
      </c>
      <c r="E169" s="29" t="n">
        <f aca="false">INDEX(Sprint_Metrics!$F$7:$F$16,RANDBETWEEN(1,ROWS(Sprint_Metrics!$F$7:$F$16)))</f>
        <v>12</v>
      </c>
      <c r="F169" s="29" t="n">
        <f aca="false">INDEX(Sprint_Metrics!$F$7:$F$16,RANDBETWEEN(1,ROWS(Sprint_Metrics!$F$7:$F$16)))</f>
        <v>8</v>
      </c>
      <c r="G169" s="29" t="n">
        <f aca="false">INDEX(Sprint_Metrics!$F$7:$F$16,RANDBETWEEN(1,ROWS(Sprint_Metrics!$F$7:$F$16)))</f>
        <v>8</v>
      </c>
      <c r="H169" s="29" t="n">
        <f aca="false">INDEX(Sprint_Metrics!$F$7:$F$16,RANDBETWEEN(1,ROWS(Sprint_Metrics!$F$7:$F$16)))</f>
        <v>8</v>
      </c>
      <c r="I169" s="29" t="n">
        <f aca="false">INDEX(Sprint_Metrics!$F$7:$F$16,RANDBETWEEN(1,ROWS(Sprint_Metrics!$F$7:$F$16)))</f>
        <v>7</v>
      </c>
      <c r="J169" s="29" t="n">
        <f aca="false">B169</f>
        <v>8</v>
      </c>
      <c r="K169" s="29" t="n">
        <f aca="false">J169+C169</f>
        <v>20</v>
      </c>
      <c r="L169" s="29" t="n">
        <f aca="false">K169+D169</f>
        <v>27</v>
      </c>
      <c r="M169" s="29" t="n">
        <f aca="false">L169+E169</f>
        <v>39</v>
      </c>
      <c r="N169" s="29" t="n">
        <f aca="false">M169+F169</f>
        <v>47</v>
      </c>
      <c r="O169" s="29" t="n">
        <f aca="false">N169+G169</f>
        <v>55</v>
      </c>
      <c r="P169" s="29" t="n">
        <f aca="false">O169+H169</f>
        <v>63</v>
      </c>
      <c r="Q169" s="29" t="n">
        <f aca="false">P169+I169</f>
        <v>70</v>
      </c>
    </row>
    <row r="170" customFormat="false" ht="15" hidden="false" customHeight="false" outlineLevel="0" collapsed="false">
      <c r="A170" s="29" t="n">
        <v>169</v>
      </c>
      <c r="B170" s="29" t="n">
        <f aca="false">INDEX(Sprint_Metrics!$F$7:$F$16,RANDBETWEEN(1,ROWS(Sprint_Metrics!$F$7:$F$16)))</f>
        <v>8</v>
      </c>
      <c r="C170" s="29" t="n">
        <f aca="false">INDEX(Sprint_Metrics!$F$7:$F$16,RANDBETWEEN(1,ROWS(Sprint_Metrics!$F$7:$F$16)))</f>
        <v>9</v>
      </c>
      <c r="D170" s="29" t="n">
        <f aca="false">INDEX(Sprint_Metrics!$F$7:$F$16,RANDBETWEEN(1,ROWS(Sprint_Metrics!$F$7:$F$16)))</f>
        <v>11</v>
      </c>
      <c r="E170" s="29" t="n">
        <f aca="false">INDEX(Sprint_Metrics!$F$7:$F$16,RANDBETWEEN(1,ROWS(Sprint_Metrics!$F$7:$F$16)))</f>
        <v>7</v>
      </c>
      <c r="F170" s="29" t="n">
        <f aca="false">INDEX(Sprint_Metrics!$F$7:$F$16,RANDBETWEEN(1,ROWS(Sprint_Metrics!$F$7:$F$16)))</f>
        <v>8</v>
      </c>
      <c r="G170" s="29" t="n">
        <f aca="false">INDEX(Sprint_Metrics!$F$7:$F$16,RANDBETWEEN(1,ROWS(Sprint_Metrics!$F$7:$F$16)))</f>
        <v>8</v>
      </c>
      <c r="H170" s="29" t="n">
        <f aca="false">INDEX(Sprint_Metrics!$F$7:$F$16,RANDBETWEEN(1,ROWS(Sprint_Metrics!$F$7:$F$16)))</f>
        <v>11</v>
      </c>
      <c r="I170" s="29" t="n">
        <f aca="false">INDEX(Sprint_Metrics!$F$7:$F$16,RANDBETWEEN(1,ROWS(Sprint_Metrics!$F$7:$F$16)))</f>
        <v>8</v>
      </c>
      <c r="J170" s="29" t="n">
        <f aca="false">B170</f>
        <v>8</v>
      </c>
      <c r="K170" s="29" t="n">
        <f aca="false">J170+C170</f>
        <v>17</v>
      </c>
      <c r="L170" s="29" t="n">
        <f aca="false">K170+D170</f>
        <v>28</v>
      </c>
      <c r="M170" s="29" t="n">
        <f aca="false">L170+E170</f>
        <v>35</v>
      </c>
      <c r="N170" s="29" t="n">
        <f aca="false">M170+F170</f>
        <v>43</v>
      </c>
      <c r="O170" s="29" t="n">
        <f aca="false">N170+G170</f>
        <v>51</v>
      </c>
      <c r="P170" s="29" t="n">
        <f aca="false">O170+H170</f>
        <v>62</v>
      </c>
      <c r="Q170" s="29" t="n">
        <f aca="false">P170+I170</f>
        <v>70</v>
      </c>
    </row>
    <row r="171" customFormat="false" ht="15" hidden="false" customHeight="false" outlineLevel="0" collapsed="false">
      <c r="A171" s="29" t="n">
        <v>170</v>
      </c>
      <c r="B171" s="29" t="n">
        <f aca="false">INDEX(Sprint_Metrics!$F$7:$F$16,RANDBETWEEN(1,ROWS(Sprint_Metrics!$F$7:$F$16)))</f>
        <v>9</v>
      </c>
      <c r="C171" s="29" t="n">
        <f aca="false">INDEX(Sprint_Metrics!$F$7:$F$16,RANDBETWEEN(1,ROWS(Sprint_Metrics!$F$7:$F$16)))</f>
        <v>8</v>
      </c>
      <c r="D171" s="29" t="n">
        <f aca="false">INDEX(Sprint_Metrics!$F$7:$F$16,RANDBETWEEN(1,ROWS(Sprint_Metrics!$F$7:$F$16)))</f>
        <v>7</v>
      </c>
      <c r="E171" s="29" t="n">
        <f aca="false">INDEX(Sprint_Metrics!$F$7:$F$16,RANDBETWEEN(1,ROWS(Sprint_Metrics!$F$7:$F$16)))</f>
        <v>11</v>
      </c>
      <c r="F171" s="29" t="n">
        <f aca="false">INDEX(Sprint_Metrics!$F$7:$F$16,RANDBETWEEN(1,ROWS(Sprint_Metrics!$F$7:$F$16)))</f>
        <v>7</v>
      </c>
      <c r="G171" s="29" t="n">
        <f aca="false">INDEX(Sprint_Metrics!$F$7:$F$16,RANDBETWEEN(1,ROWS(Sprint_Metrics!$F$7:$F$16)))</f>
        <v>9</v>
      </c>
      <c r="H171" s="29" t="n">
        <f aca="false">INDEX(Sprint_Metrics!$F$7:$F$16,RANDBETWEEN(1,ROWS(Sprint_Metrics!$F$7:$F$16)))</f>
        <v>8</v>
      </c>
      <c r="I171" s="29" t="n">
        <f aca="false">INDEX(Sprint_Metrics!$F$7:$F$16,RANDBETWEEN(1,ROWS(Sprint_Metrics!$F$7:$F$16)))</f>
        <v>7</v>
      </c>
      <c r="J171" s="29" t="n">
        <f aca="false">B171</f>
        <v>9</v>
      </c>
      <c r="K171" s="29" t="n">
        <f aca="false">J171+C171</f>
        <v>17</v>
      </c>
      <c r="L171" s="29" t="n">
        <f aca="false">K171+D171</f>
        <v>24</v>
      </c>
      <c r="M171" s="29" t="n">
        <f aca="false">L171+E171</f>
        <v>35</v>
      </c>
      <c r="N171" s="29" t="n">
        <f aca="false">M171+F171</f>
        <v>42</v>
      </c>
      <c r="O171" s="29" t="n">
        <f aca="false">N171+G171</f>
        <v>51</v>
      </c>
      <c r="P171" s="29" t="n">
        <f aca="false">O171+H171</f>
        <v>59</v>
      </c>
      <c r="Q171" s="29" t="n">
        <f aca="false">P171+I171</f>
        <v>66</v>
      </c>
    </row>
    <row r="172" customFormat="false" ht="15" hidden="false" customHeight="false" outlineLevel="0" collapsed="false">
      <c r="A172" s="29" t="n">
        <v>171</v>
      </c>
      <c r="B172" s="29" t="n">
        <f aca="false">INDEX(Sprint_Metrics!$F$7:$F$16,RANDBETWEEN(1,ROWS(Sprint_Metrics!$F$7:$F$16)))</f>
        <v>8</v>
      </c>
      <c r="C172" s="29" t="n">
        <f aca="false">INDEX(Sprint_Metrics!$F$7:$F$16,RANDBETWEEN(1,ROWS(Sprint_Metrics!$F$7:$F$16)))</f>
        <v>8</v>
      </c>
      <c r="D172" s="29" t="n">
        <f aca="false">INDEX(Sprint_Metrics!$F$7:$F$16,RANDBETWEEN(1,ROWS(Sprint_Metrics!$F$7:$F$16)))</f>
        <v>8</v>
      </c>
      <c r="E172" s="29" t="n">
        <f aca="false">INDEX(Sprint_Metrics!$F$7:$F$16,RANDBETWEEN(1,ROWS(Sprint_Metrics!$F$7:$F$16)))</f>
        <v>7</v>
      </c>
      <c r="F172" s="29" t="n">
        <f aca="false">INDEX(Sprint_Metrics!$F$7:$F$16,RANDBETWEEN(1,ROWS(Sprint_Metrics!$F$7:$F$16)))</f>
        <v>8</v>
      </c>
      <c r="G172" s="29" t="n">
        <f aca="false">INDEX(Sprint_Metrics!$F$7:$F$16,RANDBETWEEN(1,ROWS(Sprint_Metrics!$F$7:$F$16)))</f>
        <v>9</v>
      </c>
      <c r="H172" s="29" t="n">
        <f aca="false">INDEX(Sprint_Metrics!$F$7:$F$16,RANDBETWEEN(1,ROWS(Sprint_Metrics!$F$7:$F$16)))</f>
        <v>8</v>
      </c>
      <c r="I172" s="29" t="n">
        <f aca="false">INDEX(Sprint_Metrics!$F$7:$F$16,RANDBETWEEN(1,ROWS(Sprint_Metrics!$F$7:$F$16)))</f>
        <v>7</v>
      </c>
      <c r="J172" s="29" t="n">
        <f aca="false">B172</f>
        <v>8</v>
      </c>
      <c r="K172" s="29" t="n">
        <f aca="false">J172+C172</f>
        <v>16</v>
      </c>
      <c r="L172" s="29" t="n">
        <f aca="false">K172+D172</f>
        <v>24</v>
      </c>
      <c r="M172" s="29" t="n">
        <f aca="false">L172+E172</f>
        <v>31</v>
      </c>
      <c r="N172" s="29" t="n">
        <f aca="false">M172+F172</f>
        <v>39</v>
      </c>
      <c r="O172" s="29" t="n">
        <f aca="false">N172+G172</f>
        <v>48</v>
      </c>
      <c r="P172" s="29" t="n">
        <f aca="false">O172+H172</f>
        <v>56</v>
      </c>
      <c r="Q172" s="29" t="n">
        <f aca="false">P172+I172</f>
        <v>63</v>
      </c>
    </row>
    <row r="173" customFormat="false" ht="15" hidden="false" customHeight="false" outlineLevel="0" collapsed="false">
      <c r="A173" s="29" t="n">
        <v>172</v>
      </c>
      <c r="B173" s="29" t="n">
        <f aca="false">INDEX(Sprint_Metrics!$F$7:$F$16,RANDBETWEEN(1,ROWS(Sprint_Metrics!$F$7:$F$16)))</f>
        <v>11</v>
      </c>
      <c r="C173" s="29" t="n">
        <f aca="false">INDEX(Sprint_Metrics!$F$7:$F$16,RANDBETWEEN(1,ROWS(Sprint_Metrics!$F$7:$F$16)))</f>
        <v>8</v>
      </c>
      <c r="D173" s="29" t="n">
        <f aca="false">INDEX(Sprint_Metrics!$F$7:$F$16,RANDBETWEEN(1,ROWS(Sprint_Metrics!$F$7:$F$16)))</f>
        <v>11</v>
      </c>
      <c r="E173" s="29" t="n">
        <f aca="false">INDEX(Sprint_Metrics!$F$7:$F$16,RANDBETWEEN(1,ROWS(Sprint_Metrics!$F$7:$F$16)))</f>
        <v>11</v>
      </c>
      <c r="F173" s="29" t="n">
        <f aca="false">INDEX(Sprint_Metrics!$F$7:$F$16,RANDBETWEEN(1,ROWS(Sprint_Metrics!$F$7:$F$16)))</f>
        <v>8</v>
      </c>
      <c r="G173" s="29" t="n">
        <f aca="false">INDEX(Sprint_Metrics!$F$7:$F$16,RANDBETWEEN(1,ROWS(Sprint_Metrics!$F$7:$F$16)))</f>
        <v>7</v>
      </c>
      <c r="H173" s="29" t="n">
        <f aca="false">INDEX(Sprint_Metrics!$F$7:$F$16,RANDBETWEEN(1,ROWS(Sprint_Metrics!$F$7:$F$16)))</f>
        <v>8</v>
      </c>
      <c r="I173" s="29" t="n">
        <f aca="false">INDEX(Sprint_Metrics!$F$7:$F$16,RANDBETWEEN(1,ROWS(Sprint_Metrics!$F$7:$F$16)))</f>
        <v>8</v>
      </c>
      <c r="J173" s="29" t="n">
        <f aca="false">B173</f>
        <v>11</v>
      </c>
      <c r="K173" s="29" t="n">
        <f aca="false">J173+C173</f>
        <v>19</v>
      </c>
      <c r="L173" s="29" t="n">
        <f aca="false">K173+D173</f>
        <v>30</v>
      </c>
      <c r="M173" s="29" t="n">
        <f aca="false">L173+E173</f>
        <v>41</v>
      </c>
      <c r="N173" s="29" t="n">
        <f aca="false">M173+F173</f>
        <v>49</v>
      </c>
      <c r="O173" s="29" t="n">
        <f aca="false">N173+G173</f>
        <v>56</v>
      </c>
      <c r="P173" s="29" t="n">
        <f aca="false">O173+H173</f>
        <v>64</v>
      </c>
      <c r="Q173" s="29" t="n">
        <f aca="false">P173+I173</f>
        <v>72</v>
      </c>
    </row>
    <row r="174" customFormat="false" ht="15" hidden="false" customHeight="false" outlineLevel="0" collapsed="false">
      <c r="A174" s="29" t="n">
        <v>173</v>
      </c>
      <c r="B174" s="29" t="n">
        <f aca="false">INDEX(Sprint_Metrics!$F$7:$F$16,RANDBETWEEN(1,ROWS(Sprint_Metrics!$F$7:$F$16)))</f>
        <v>8</v>
      </c>
      <c r="C174" s="29" t="n">
        <f aca="false">INDEX(Sprint_Metrics!$F$7:$F$16,RANDBETWEEN(1,ROWS(Sprint_Metrics!$F$7:$F$16)))</f>
        <v>9</v>
      </c>
      <c r="D174" s="29" t="n">
        <f aca="false">INDEX(Sprint_Metrics!$F$7:$F$16,RANDBETWEEN(1,ROWS(Sprint_Metrics!$F$7:$F$16)))</f>
        <v>8</v>
      </c>
      <c r="E174" s="29" t="n">
        <f aca="false">INDEX(Sprint_Metrics!$F$7:$F$16,RANDBETWEEN(1,ROWS(Sprint_Metrics!$F$7:$F$16)))</f>
        <v>7</v>
      </c>
      <c r="F174" s="29" t="n">
        <f aca="false">INDEX(Sprint_Metrics!$F$7:$F$16,RANDBETWEEN(1,ROWS(Sprint_Metrics!$F$7:$F$16)))</f>
        <v>7</v>
      </c>
      <c r="G174" s="29" t="n">
        <f aca="false">INDEX(Sprint_Metrics!$F$7:$F$16,RANDBETWEEN(1,ROWS(Sprint_Metrics!$F$7:$F$16)))</f>
        <v>11</v>
      </c>
      <c r="H174" s="29" t="n">
        <f aca="false">INDEX(Sprint_Metrics!$F$7:$F$16,RANDBETWEEN(1,ROWS(Sprint_Metrics!$F$7:$F$16)))</f>
        <v>12</v>
      </c>
      <c r="I174" s="29" t="n">
        <f aca="false">INDEX(Sprint_Metrics!$F$7:$F$16,RANDBETWEEN(1,ROWS(Sprint_Metrics!$F$7:$F$16)))</f>
        <v>11</v>
      </c>
      <c r="J174" s="29" t="n">
        <f aca="false">B174</f>
        <v>8</v>
      </c>
      <c r="K174" s="29" t="n">
        <f aca="false">J174+C174</f>
        <v>17</v>
      </c>
      <c r="L174" s="29" t="n">
        <f aca="false">K174+D174</f>
        <v>25</v>
      </c>
      <c r="M174" s="29" t="n">
        <f aca="false">L174+E174</f>
        <v>32</v>
      </c>
      <c r="N174" s="29" t="n">
        <f aca="false">M174+F174</f>
        <v>39</v>
      </c>
      <c r="O174" s="29" t="n">
        <f aca="false">N174+G174</f>
        <v>50</v>
      </c>
      <c r="P174" s="29" t="n">
        <f aca="false">O174+H174</f>
        <v>62</v>
      </c>
      <c r="Q174" s="29" t="n">
        <f aca="false">P174+I174</f>
        <v>73</v>
      </c>
    </row>
    <row r="175" customFormat="false" ht="15" hidden="false" customHeight="false" outlineLevel="0" collapsed="false">
      <c r="A175" s="29" t="n">
        <v>174</v>
      </c>
      <c r="B175" s="29" t="n">
        <f aca="false">INDEX(Sprint_Metrics!$F$7:$F$16,RANDBETWEEN(1,ROWS(Sprint_Metrics!$F$7:$F$16)))</f>
        <v>7</v>
      </c>
      <c r="C175" s="29" t="n">
        <f aca="false">INDEX(Sprint_Metrics!$F$7:$F$16,RANDBETWEEN(1,ROWS(Sprint_Metrics!$F$7:$F$16)))</f>
        <v>11</v>
      </c>
      <c r="D175" s="29" t="n">
        <f aca="false">INDEX(Sprint_Metrics!$F$7:$F$16,RANDBETWEEN(1,ROWS(Sprint_Metrics!$F$7:$F$16)))</f>
        <v>9</v>
      </c>
      <c r="E175" s="29" t="n">
        <f aca="false">INDEX(Sprint_Metrics!$F$7:$F$16,RANDBETWEEN(1,ROWS(Sprint_Metrics!$F$7:$F$16)))</f>
        <v>7</v>
      </c>
      <c r="F175" s="29" t="n">
        <f aca="false">INDEX(Sprint_Metrics!$F$7:$F$16,RANDBETWEEN(1,ROWS(Sprint_Metrics!$F$7:$F$16)))</f>
        <v>7</v>
      </c>
      <c r="G175" s="29" t="n">
        <f aca="false">INDEX(Sprint_Metrics!$F$7:$F$16,RANDBETWEEN(1,ROWS(Sprint_Metrics!$F$7:$F$16)))</f>
        <v>8</v>
      </c>
      <c r="H175" s="29" t="n">
        <f aca="false">INDEX(Sprint_Metrics!$F$7:$F$16,RANDBETWEEN(1,ROWS(Sprint_Metrics!$F$7:$F$16)))</f>
        <v>9</v>
      </c>
      <c r="I175" s="29" t="n">
        <f aca="false">INDEX(Sprint_Metrics!$F$7:$F$16,RANDBETWEEN(1,ROWS(Sprint_Metrics!$F$7:$F$16)))</f>
        <v>9</v>
      </c>
      <c r="J175" s="29" t="n">
        <f aca="false">B175</f>
        <v>7</v>
      </c>
      <c r="K175" s="29" t="n">
        <f aca="false">J175+C175</f>
        <v>18</v>
      </c>
      <c r="L175" s="29" t="n">
        <f aca="false">K175+D175</f>
        <v>27</v>
      </c>
      <c r="M175" s="29" t="n">
        <f aca="false">L175+E175</f>
        <v>34</v>
      </c>
      <c r="N175" s="29" t="n">
        <f aca="false">M175+F175</f>
        <v>41</v>
      </c>
      <c r="O175" s="29" t="n">
        <f aca="false">N175+G175</f>
        <v>49</v>
      </c>
      <c r="P175" s="29" t="n">
        <f aca="false">O175+H175</f>
        <v>58</v>
      </c>
      <c r="Q175" s="29" t="n">
        <f aca="false">P175+I175</f>
        <v>67</v>
      </c>
    </row>
    <row r="176" customFormat="false" ht="15" hidden="false" customHeight="false" outlineLevel="0" collapsed="false">
      <c r="A176" s="29" t="n">
        <v>175</v>
      </c>
      <c r="B176" s="29" t="n">
        <f aca="false">INDEX(Sprint_Metrics!$F$7:$F$16,RANDBETWEEN(1,ROWS(Sprint_Metrics!$F$7:$F$16)))</f>
        <v>11</v>
      </c>
      <c r="C176" s="29" t="n">
        <f aca="false">INDEX(Sprint_Metrics!$F$7:$F$16,RANDBETWEEN(1,ROWS(Sprint_Metrics!$F$7:$F$16)))</f>
        <v>7</v>
      </c>
      <c r="D176" s="29" t="n">
        <f aca="false">INDEX(Sprint_Metrics!$F$7:$F$16,RANDBETWEEN(1,ROWS(Sprint_Metrics!$F$7:$F$16)))</f>
        <v>8</v>
      </c>
      <c r="E176" s="29" t="n">
        <f aca="false">INDEX(Sprint_Metrics!$F$7:$F$16,RANDBETWEEN(1,ROWS(Sprint_Metrics!$F$7:$F$16)))</f>
        <v>11</v>
      </c>
      <c r="F176" s="29" t="n">
        <f aca="false">INDEX(Sprint_Metrics!$F$7:$F$16,RANDBETWEEN(1,ROWS(Sprint_Metrics!$F$7:$F$16)))</f>
        <v>8</v>
      </c>
      <c r="G176" s="29" t="n">
        <f aca="false">INDEX(Sprint_Metrics!$F$7:$F$16,RANDBETWEEN(1,ROWS(Sprint_Metrics!$F$7:$F$16)))</f>
        <v>8</v>
      </c>
      <c r="H176" s="29" t="n">
        <f aca="false">INDEX(Sprint_Metrics!$F$7:$F$16,RANDBETWEEN(1,ROWS(Sprint_Metrics!$F$7:$F$16)))</f>
        <v>9</v>
      </c>
      <c r="I176" s="29" t="n">
        <f aca="false">INDEX(Sprint_Metrics!$F$7:$F$16,RANDBETWEEN(1,ROWS(Sprint_Metrics!$F$7:$F$16)))</f>
        <v>11</v>
      </c>
      <c r="J176" s="29" t="n">
        <f aca="false">B176</f>
        <v>11</v>
      </c>
      <c r="K176" s="29" t="n">
        <f aca="false">J176+C176</f>
        <v>18</v>
      </c>
      <c r="L176" s="29" t="n">
        <f aca="false">K176+D176</f>
        <v>26</v>
      </c>
      <c r="M176" s="29" t="n">
        <f aca="false">L176+E176</f>
        <v>37</v>
      </c>
      <c r="N176" s="29" t="n">
        <f aca="false">M176+F176</f>
        <v>45</v>
      </c>
      <c r="O176" s="29" t="n">
        <f aca="false">N176+G176</f>
        <v>53</v>
      </c>
      <c r="P176" s="29" t="n">
        <f aca="false">O176+H176</f>
        <v>62</v>
      </c>
      <c r="Q176" s="29" t="n">
        <f aca="false">P176+I176</f>
        <v>73</v>
      </c>
    </row>
    <row r="177" customFormat="false" ht="15" hidden="false" customHeight="false" outlineLevel="0" collapsed="false">
      <c r="A177" s="29" t="n">
        <v>176</v>
      </c>
      <c r="B177" s="29" t="n">
        <f aca="false">INDEX(Sprint_Metrics!$F$7:$F$16,RANDBETWEEN(1,ROWS(Sprint_Metrics!$F$7:$F$16)))</f>
        <v>11</v>
      </c>
      <c r="C177" s="29" t="n">
        <f aca="false">INDEX(Sprint_Metrics!$F$7:$F$16,RANDBETWEEN(1,ROWS(Sprint_Metrics!$F$7:$F$16)))</f>
        <v>7</v>
      </c>
      <c r="D177" s="29" t="n">
        <f aca="false">INDEX(Sprint_Metrics!$F$7:$F$16,RANDBETWEEN(1,ROWS(Sprint_Metrics!$F$7:$F$16)))</f>
        <v>8</v>
      </c>
      <c r="E177" s="29" t="n">
        <f aca="false">INDEX(Sprint_Metrics!$F$7:$F$16,RANDBETWEEN(1,ROWS(Sprint_Metrics!$F$7:$F$16)))</f>
        <v>12</v>
      </c>
      <c r="F177" s="29" t="n">
        <f aca="false">INDEX(Sprint_Metrics!$F$7:$F$16,RANDBETWEEN(1,ROWS(Sprint_Metrics!$F$7:$F$16)))</f>
        <v>7</v>
      </c>
      <c r="G177" s="29" t="n">
        <f aca="false">INDEX(Sprint_Metrics!$F$7:$F$16,RANDBETWEEN(1,ROWS(Sprint_Metrics!$F$7:$F$16)))</f>
        <v>8</v>
      </c>
      <c r="H177" s="29" t="n">
        <f aca="false">INDEX(Sprint_Metrics!$F$7:$F$16,RANDBETWEEN(1,ROWS(Sprint_Metrics!$F$7:$F$16)))</f>
        <v>7</v>
      </c>
      <c r="I177" s="29" t="n">
        <f aca="false">INDEX(Sprint_Metrics!$F$7:$F$16,RANDBETWEEN(1,ROWS(Sprint_Metrics!$F$7:$F$16)))</f>
        <v>9</v>
      </c>
      <c r="J177" s="29" t="n">
        <f aca="false">B177</f>
        <v>11</v>
      </c>
      <c r="K177" s="29" t="n">
        <f aca="false">J177+C177</f>
        <v>18</v>
      </c>
      <c r="L177" s="29" t="n">
        <f aca="false">K177+D177</f>
        <v>26</v>
      </c>
      <c r="M177" s="29" t="n">
        <f aca="false">L177+E177</f>
        <v>38</v>
      </c>
      <c r="N177" s="29" t="n">
        <f aca="false">M177+F177</f>
        <v>45</v>
      </c>
      <c r="O177" s="29" t="n">
        <f aca="false">N177+G177</f>
        <v>53</v>
      </c>
      <c r="P177" s="29" t="n">
        <f aca="false">O177+H177</f>
        <v>60</v>
      </c>
      <c r="Q177" s="29" t="n">
        <f aca="false">P177+I177</f>
        <v>69</v>
      </c>
    </row>
    <row r="178" customFormat="false" ht="15" hidden="false" customHeight="false" outlineLevel="0" collapsed="false">
      <c r="A178" s="29" t="n">
        <v>177</v>
      </c>
      <c r="B178" s="29" t="n">
        <f aca="false">INDEX(Sprint_Metrics!$F$7:$F$16,RANDBETWEEN(1,ROWS(Sprint_Metrics!$F$7:$F$16)))</f>
        <v>7</v>
      </c>
      <c r="C178" s="29" t="n">
        <f aca="false">INDEX(Sprint_Metrics!$F$7:$F$16,RANDBETWEEN(1,ROWS(Sprint_Metrics!$F$7:$F$16)))</f>
        <v>8</v>
      </c>
      <c r="D178" s="29" t="n">
        <f aca="false">INDEX(Sprint_Metrics!$F$7:$F$16,RANDBETWEEN(1,ROWS(Sprint_Metrics!$F$7:$F$16)))</f>
        <v>8</v>
      </c>
      <c r="E178" s="29" t="n">
        <f aca="false">INDEX(Sprint_Metrics!$F$7:$F$16,RANDBETWEEN(1,ROWS(Sprint_Metrics!$F$7:$F$16)))</f>
        <v>8</v>
      </c>
      <c r="F178" s="29" t="n">
        <f aca="false">INDEX(Sprint_Metrics!$F$7:$F$16,RANDBETWEEN(1,ROWS(Sprint_Metrics!$F$7:$F$16)))</f>
        <v>11</v>
      </c>
      <c r="G178" s="29" t="n">
        <f aca="false">INDEX(Sprint_Metrics!$F$7:$F$16,RANDBETWEEN(1,ROWS(Sprint_Metrics!$F$7:$F$16)))</f>
        <v>12</v>
      </c>
      <c r="H178" s="29" t="n">
        <f aca="false">INDEX(Sprint_Metrics!$F$7:$F$16,RANDBETWEEN(1,ROWS(Sprint_Metrics!$F$7:$F$16)))</f>
        <v>8</v>
      </c>
      <c r="I178" s="29" t="n">
        <f aca="false">INDEX(Sprint_Metrics!$F$7:$F$16,RANDBETWEEN(1,ROWS(Sprint_Metrics!$F$7:$F$16)))</f>
        <v>7</v>
      </c>
      <c r="J178" s="29" t="n">
        <f aca="false">B178</f>
        <v>7</v>
      </c>
      <c r="K178" s="29" t="n">
        <f aca="false">J178+C178</f>
        <v>15</v>
      </c>
      <c r="L178" s="29" t="n">
        <f aca="false">K178+D178</f>
        <v>23</v>
      </c>
      <c r="M178" s="29" t="n">
        <f aca="false">L178+E178</f>
        <v>31</v>
      </c>
      <c r="N178" s="29" t="n">
        <f aca="false">M178+F178</f>
        <v>42</v>
      </c>
      <c r="O178" s="29" t="n">
        <f aca="false">N178+G178</f>
        <v>54</v>
      </c>
      <c r="P178" s="29" t="n">
        <f aca="false">O178+H178</f>
        <v>62</v>
      </c>
      <c r="Q178" s="29" t="n">
        <f aca="false">P178+I178</f>
        <v>69</v>
      </c>
    </row>
    <row r="179" customFormat="false" ht="15" hidden="false" customHeight="false" outlineLevel="0" collapsed="false">
      <c r="A179" s="29" t="n">
        <v>178</v>
      </c>
      <c r="B179" s="29" t="n">
        <f aca="false">INDEX(Sprint_Metrics!$F$7:$F$16,RANDBETWEEN(1,ROWS(Sprint_Metrics!$F$7:$F$16)))</f>
        <v>8</v>
      </c>
      <c r="C179" s="29" t="n">
        <f aca="false">INDEX(Sprint_Metrics!$F$7:$F$16,RANDBETWEEN(1,ROWS(Sprint_Metrics!$F$7:$F$16)))</f>
        <v>11</v>
      </c>
      <c r="D179" s="29" t="n">
        <f aca="false">INDEX(Sprint_Metrics!$F$7:$F$16,RANDBETWEEN(1,ROWS(Sprint_Metrics!$F$7:$F$16)))</f>
        <v>7</v>
      </c>
      <c r="E179" s="29" t="n">
        <f aca="false">INDEX(Sprint_Metrics!$F$7:$F$16,RANDBETWEEN(1,ROWS(Sprint_Metrics!$F$7:$F$16)))</f>
        <v>8</v>
      </c>
      <c r="F179" s="29" t="n">
        <f aca="false">INDEX(Sprint_Metrics!$F$7:$F$16,RANDBETWEEN(1,ROWS(Sprint_Metrics!$F$7:$F$16)))</f>
        <v>7</v>
      </c>
      <c r="G179" s="29" t="n">
        <f aca="false">INDEX(Sprint_Metrics!$F$7:$F$16,RANDBETWEEN(1,ROWS(Sprint_Metrics!$F$7:$F$16)))</f>
        <v>12</v>
      </c>
      <c r="H179" s="29" t="n">
        <f aca="false">INDEX(Sprint_Metrics!$F$7:$F$16,RANDBETWEEN(1,ROWS(Sprint_Metrics!$F$7:$F$16)))</f>
        <v>9</v>
      </c>
      <c r="I179" s="29" t="n">
        <f aca="false">INDEX(Sprint_Metrics!$F$7:$F$16,RANDBETWEEN(1,ROWS(Sprint_Metrics!$F$7:$F$16)))</f>
        <v>11</v>
      </c>
      <c r="J179" s="29" t="n">
        <f aca="false">B179</f>
        <v>8</v>
      </c>
      <c r="K179" s="29" t="n">
        <f aca="false">J179+C179</f>
        <v>19</v>
      </c>
      <c r="L179" s="29" t="n">
        <f aca="false">K179+D179</f>
        <v>26</v>
      </c>
      <c r="M179" s="29" t="n">
        <f aca="false">L179+E179</f>
        <v>34</v>
      </c>
      <c r="N179" s="29" t="n">
        <f aca="false">M179+F179</f>
        <v>41</v>
      </c>
      <c r="O179" s="29" t="n">
        <f aca="false">N179+G179</f>
        <v>53</v>
      </c>
      <c r="P179" s="29" t="n">
        <f aca="false">O179+H179</f>
        <v>62</v>
      </c>
      <c r="Q179" s="29" t="n">
        <f aca="false">P179+I179</f>
        <v>73</v>
      </c>
    </row>
    <row r="180" customFormat="false" ht="15" hidden="false" customHeight="false" outlineLevel="0" collapsed="false">
      <c r="A180" s="29" t="n">
        <v>179</v>
      </c>
      <c r="B180" s="29" t="n">
        <f aca="false">INDEX(Sprint_Metrics!$F$7:$F$16,RANDBETWEEN(1,ROWS(Sprint_Metrics!$F$7:$F$16)))</f>
        <v>8</v>
      </c>
      <c r="C180" s="29" t="n">
        <f aca="false">INDEX(Sprint_Metrics!$F$7:$F$16,RANDBETWEEN(1,ROWS(Sprint_Metrics!$F$7:$F$16)))</f>
        <v>11</v>
      </c>
      <c r="D180" s="29" t="n">
        <f aca="false">INDEX(Sprint_Metrics!$F$7:$F$16,RANDBETWEEN(1,ROWS(Sprint_Metrics!$F$7:$F$16)))</f>
        <v>9</v>
      </c>
      <c r="E180" s="29" t="n">
        <f aca="false">INDEX(Sprint_Metrics!$F$7:$F$16,RANDBETWEEN(1,ROWS(Sprint_Metrics!$F$7:$F$16)))</f>
        <v>7</v>
      </c>
      <c r="F180" s="29" t="n">
        <f aca="false">INDEX(Sprint_Metrics!$F$7:$F$16,RANDBETWEEN(1,ROWS(Sprint_Metrics!$F$7:$F$16)))</f>
        <v>11</v>
      </c>
      <c r="G180" s="29" t="n">
        <f aca="false">INDEX(Sprint_Metrics!$F$7:$F$16,RANDBETWEEN(1,ROWS(Sprint_Metrics!$F$7:$F$16)))</f>
        <v>12</v>
      </c>
      <c r="H180" s="29" t="n">
        <f aca="false">INDEX(Sprint_Metrics!$F$7:$F$16,RANDBETWEEN(1,ROWS(Sprint_Metrics!$F$7:$F$16)))</f>
        <v>11</v>
      </c>
      <c r="I180" s="29" t="n">
        <f aca="false">INDEX(Sprint_Metrics!$F$7:$F$16,RANDBETWEEN(1,ROWS(Sprint_Metrics!$F$7:$F$16)))</f>
        <v>11</v>
      </c>
      <c r="J180" s="29" t="n">
        <f aca="false">B180</f>
        <v>8</v>
      </c>
      <c r="K180" s="29" t="n">
        <f aca="false">J180+C180</f>
        <v>19</v>
      </c>
      <c r="L180" s="29" t="n">
        <f aca="false">K180+D180</f>
        <v>28</v>
      </c>
      <c r="M180" s="29" t="n">
        <f aca="false">L180+E180</f>
        <v>35</v>
      </c>
      <c r="N180" s="29" t="n">
        <f aca="false">M180+F180</f>
        <v>46</v>
      </c>
      <c r="O180" s="29" t="n">
        <f aca="false">N180+G180</f>
        <v>58</v>
      </c>
      <c r="P180" s="29" t="n">
        <f aca="false">O180+H180</f>
        <v>69</v>
      </c>
      <c r="Q180" s="29" t="n">
        <f aca="false">P180+I180</f>
        <v>80</v>
      </c>
    </row>
    <row r="181" customFormat="false" ht="15" hidden="false" customHeight="false" outlineLevel="0" collapsed="false">
      <c r="A181" s="29" t="n">
        <v>180</v>
      </c>
      <c r="B181" s="29" t="n">
        <f aca="false">INDEX(Sprint_Metrics!$F$7:$F$16,RANDBETWEEN(1,ROWS(Sprint_Metrics!$F$7:$F$16)))</f>
        <v>8</v>
      </c>
      <c r="C181" s="29" t="n">
        <f aca="false">INDEX(Sprint_Metrics!$F$7:$F$16,RANDBETWEEN(1,ROWS(Sprint_Metrics!$F$7:$F$16)))</f>
        <v>9</v>
      </c>
      <c r="D181" s="29" t="n">
        <f aca="false">INDEX(Sprint_Metrics!$F$7:$F$16,RANDBETWEEN(1,ROWS(Sprint_Metrics!$F$7:$F$16)))</f>
        <v>7</v>
      </c>
      <c r="E181" s="29" t="n">
        <f aca="false">INDEX(Sprint_Metrics!$F$7:$F$16,RANDBETWEEN(1,ROWS(Sprint_Metrics!$F$7:$F$16)))</f>
        <v>9</v>
      </c>
      <c r="F181" s="29" t="n">
        <f aca="false">INDEX(Sprint_Metrics!$F$7:$F$16,RANDBETWEEN(1,ROWS(Sprint_Metrics!$F$7:$F$16)))</f>
        <v>8</v>
      </c>
      <c r="G181" s="29" t="n">
        <f aca="false">INDEX(Sprint_Metrics!$F$7:$F$16,RANDBETWEEN(1,ROWS(Sprint_Metrics!$F$7:$F$16)))</f>
        <v>8</v>
      </c>
      <c r="H181" s="29" t="n">
        <f aca="false">INDEX(Sprint_Metrics!$F$7:$F$16,RANDBETWEEN(1,ROWS(Sprint_Metrics!$F$7:$F$16)))</f>
        <v>7</v>
      </c>
      <c r="I181" s="29" t="n">
        <f aca="false">INDEX(Sprint_Metrics!$F$7:$F$16,RANDBETWEEN(1,ROWS(Sprint_Metrics!$F$7:$F$16)))</f>
        <v>11</v>
      </c>
      <c r="J181" s="29" t="n">
        <f aca="false">B181</f>
        <v>8</v>
      </c>
      <c r="K181" s="29" t="n">
        <f aca="false">J181+C181</f>
        <v>17</v>
      </c>
      <c r="L181" s="29" t="n">
        <f aca="false">K181+D181</f>
        <v>24</v>
      </c>
      <c r="M181" s="29" t="n">
        <f aca="false">L181+E181</f>
        <v>33</v>
      </c>
      <c r="N181" s="29" t="n">
        <f aca="false">M181+F181</f>
        <v>41</v>
      </c>
      <c r="O181" s="29" t="n">
        <f aca="false">N181+G181</f>
        <v>49</v>
      </c>
      <c r="P181" s="29" t="n">
        <f aca="false">O181+H181</f>
        <v>56</v>
      </c>
      <c r="Q181" s="29" t="n">
        <f aca="false">P181+I181</f>
        <v>67</v>
      </c>
    </row>
    <row r="182" customFormat="false" ht="15" hidden="false" customHeight="false" outlineLevel="0" collapsed="false">
      <c r="A182" s="29" t="n">
        <v>181</v>
      </c>
      <c r="B182" s="29" t="n">
        <f aca="false">INDEX(Sprint_Metrics!$F$7:$F$16,RANDBETWEEN(1,ROWS(Sprint_Metrics!$F$7:$F$16)))</f>
        <v>9</v>
      </c>
      <c r="C182" s="29" t="n">
        <f aca="false">INDEX(Sprint_Metrics!$F$7:$F$16,RANDBETWEEN(1,ROWS(Sprint_Metrics!$F$7:$F$16)))</f>
        <v>7</v>
      </c>
      <c r="D182" s="29" t="n">
        <f aca="false">INDEX(Sprint_Metrics!$F$7:$F$16,RANDBETWEEN(1,ROWS(Sprint_Metrics!$F$7:$F$16)))</f>
        <v>11</v>
      </c>
      <c r="E182" s="29" t="n">
        <f aca="false">INDEX(Sprint_Metrics!$F$7:$F$16,RANDBETWEEN(1,ROWS(Sprint_Metrics!$F$7:$F$16)))</f>
        <v>11</v>
      </c>
      <c r="F182" s="29" t="n">
        <f aca="false">INDEX(Sprint_Metrics!$F$7:$F$16,RANDBETWEEN(1,ROWS(Sprint_Metrics!$F$7:$F$16)))</f>
        <v>8</v>
      </c>
      <c r="G182" s="29" t="n">
        <f aca="false">INDEX(Sprint_Metrics!$F$7:$F$16,RANDBETWEEN(1,ROWS(Sprint_Metrics!$F$7:$F$16)))</f>
        <v>9</v>
      </c>
      <c r="H182" s="29" t="n">
        <f aca="false">INDEX(Sprint_Metrics!$F$7:$F$16,RANDBETWEEN(1,ROWS(Sprint_Metrics!$F$7:$F$16)))</f>
        <v>8</v>
      </c>
      <c r="I182" s="29" t="n">
        <f aca="false">INDEX(Sprint_Metrics!$F$7:$F$16,RANDBETWEEN(1,ROWS(Sprint_Metrics!$F$7:$F$16)))</f>
        <v>8</v>
      </c>
      <c r="J182" s="29" t="n">
        <f aca="false">B182</f>
        <v>9</v>
      </c>
      <c r="K182" s="29" t="n">
        <f aca="false">J182+C182</f>
        <v>16</v>
      </c>
      <c r="L182" s="29" t="n">
        <f aca="false">K182+D182</f>
        <v>27</v>
      </c>
      <c r="M182" s="29" t="n">
        <f aca="false">L182+E182</f>
        <v>38</v>
      </c>
      <c r="N182" s="29" t="n">
        <f aca="false">M182+F182</f>
        <v>46</v>
      </c>
      <c r="O182" s="29" t="n">
        <f aca="false">N182+G182</f>
        <v>55</v>
      </c>
      <c r="P182" s="29" t="n">
        <f aca="false">O182+H182</f>
        <v>63</v>
      </c>
      <c r="Q182" s="29" t="n">
        <f aca="false">P182+I182</f>
        <v>71</v>
      </c>
    </row>
    <row r="183" customFormat="false" ht="15" hidden="false" customHeight="false" outlineLevel="0" collapsed="false">
      <c r="A183" s="29" t="n">
        <v>182</v>
      </c>
      <c r="B183" s="29" t="n">
        <f aca="false">INDEX(Sprint_Metrics!$F$7:$F$16,RANDBETWEEN(1,ROWS(Sprint_Metrics!$F$7:$F$16)))</f>
        <v>9</v>
      </c>
      <c r="C183" s="29" t="n">
        <f aca="false">INDEX(Sprint_Metrics!$F$7:$F$16,RANDBETWEEN(1,ROWS(Sprint_Metrics!$F$7:$F$16)))</f>
        <v>11</v>
      </c>
      <c r="D183" s="29" t="n">
        <f aca="false">INDEX(Sprint_Metrics!$F$7:$F$16,RANDBETWEEN(1,ROWS(Sprint_Metrics!$F$7:$F$16)))</f>
        <v>12</v>
      </c>
      <c r="E183" s="29" t="n">
        <f aca="false">INDEX(Sprint_Metrics!$F$7:$F$16,RANDBETWEEN(1,ROWS(Sprint_Metrics!$F$7:$F$16)))</f>
        <v>8</v>
      </c>
      <c r="F183" s="29" t="n">
        <f aca="false">INDEX(Sprint_Metrics!$F$7:$F$16,RANDBETWEEN(1,ROWS(Sprint_Metrics!$F$7:$F$16)))</f>
        <v>11</v>
      </c>
      <c r="G183" s="29" t="n">
        <f aca="false">INDEX(Sprint_Metrics!$F$7:$F$16,RANDBETWEEN(1,ROWS(Sprint_Metrics!$F$7:$F$16)))</f>
        <v>9</v>
      </c>
      <c r="H183" s="29" t="n">
        <f aca="false">INDEX(Sprint_Metrics!$F$7:$F$16,RANDBETWEEN(1,ROWS(Sprint_Metrics!$F$7:$F$16)))</f>
        <v>11</v>
      </c>
      <c r="I183" s="29" t="n">
        <f aca="false">INDEX(Sprint_Metrics!$F$7:$F$16,RANDBETWEEN(1,ROWS(Sprint_Metrics!$F$7:$F$16)))</f>
        <v>9</v>
      </c>
      <c r="J183" s="29" t="n">
        <f aca="false">B183</f>
        <v>9</v>
      </c>
      <c r="K183" s="29" t="n">
        <f aca="false">J183+C183</f>
        <v>20</v>
      </c>
      <c r="L183" s="29" t="n">
        <f aca="false">K183+D183</f>
        <v>32</v>
      </c>
      <c r="M183" s="29" t="n">
        <f aca="false">L183+E183</f>
        <v>40</v>
      </c>
      <c r="N183" s="29" t="n">
        <f aca="false">M183+F183</f>
        <v>51</v>
      </c>
      <c r="O183" s="29" t="n">
        <f aca="false">N183+G183</f>
        <v>60</v>
      </c>
      <c r="P183" s="29" t="n">
        <f aca="false">O183+H183</f>
        <v>71</v>
      </c>
      <c r="Q183" s="29" t="n">
        <f aca="false">P183+I183</f>
        <v>80</v>
      </c>
    </row>
    <row r="184" customFormat="false" ht="15" hidden="false" customHeight="false" outlineLevel="0" collapsed="false">
      <c r="A184" s="29" t="n">
        <v>183</v>
      </c>
      <c r="B184" s="29" t="n">
        <f aca="false">INDEX(Sprint_Metrics!$F$7:$F$16,RANDBETWEEN(1,ROWS(Sprint_Metrics!$F$7:$F$16)))</f>
        <v>12</v>
      </c>
      <c r="C184" s="29" t="n">
        <f aca="false">INDEX(Sprint_Metrics!$F$7:$F$16,RANDBETWEEN(1,ROWS(Sprint_Metrics!$F$7:$F$16)))</f>
        <v>11</v>
      </c>
      <c r="D184" s="29" t="n">
        <f aca="false">INDEX(Sprint_Metrics!$F$7:$F$16,RANDBETWEEN(1,ROWS(Sprint_Metrics!$F$7:$F$16)))</f>
        <v>8</v>
      </c>
      <c r="E184" s="29" t="n">
        <f aca="false">INDEX(Sprint_Metrics!$F$7:$F$16,RANDBETWEEN(1,ROWS(Sprint_Metrics!$F$7:$F$16)))</f>
        <v>8</v>
      </c>
      <c r="F184" s="29" t="n">
        <f aca="false">INDEX(Sprint_Metrics!$F$7:$F$16,RANDBETWEEN(1,ROWS(Sprint_Metrics!$F$7:$F$16)))</f>
        <v>9</v>
      </c>
      <c r="G184" s="29" t="n">
        <f aca="false">INDEX(Sprint_Metrics!$F$7:$F$16,RANDBETWEEN(1,ROWS(Sprint_Metrics!$F$7:$F$16)))</f>
        <v>11</v>
      </c>
      <c r="H184" s="29" t="n">
        <f aca="false">INDEX(Sprint_Metrics!$F$7:$F$16,RANDBETWEEN(1,ROWS(Sprint_Metrics!$F$7:$F$16)))</f>
        <v>7</v>
      </c>
      <c r="I184" s="29" t="n">
        <f aca="false">INDEX(Sprint_Metrics!$F$7:$F$16,RANDBETWEEN(1,ROWS(Sprint_Metrics!$F$7:$F$16)))</f>
        <v>8</v>
      </c>
      <c r="J184" s="29" t="n">
        <f aca="false">B184</f>
        <v>12</v>
      </c>
      <c r="K184" s="29" t="n">
        <f aca="false">J184+C184</f>
        <v>23</v>
      </c>
      <c r="L184" s="29" t="n">
        <f aca="false">K184+D184</f>
        <v>31</v>
      </c>
      <c r="M184" s="29" t="n">
        <f aca="false">L184+E184</f>
        <v>39</v>
      </c>
      <c r="N184" s="29" t="n">
        <f aca="false">M184+F184</f>
        <v>48</v>
      </c>
      <c r="O184" s="29" t="n">
        <f aca="false">N184+G184</f>
        <v>59</v>
      </c>
      <c r="P184" s="29" t="n">
        <f aca="false">O184+H184</f>
        <v>66</v>
      </c>
      <c r="Q184" s="29" t="n">
        <f aca="false">P184+I184</f>
        <v>74</v>
      </c>
    </row>
    <row r="185" customFormat="false" ht="15" hidden="false" customHeight="false" outlineLevel="0" collapsed="false">
      <c r="A185" s="29" t="n">
        <v>184</v>
      </c>
      <c r="B185" s="29" t="n">
        <f aca="false">INDEX(Sprint_Metrics!$F$7:$F$16,RANDBETWEEN(1,ROWS(Sprint_Metrics!$F$7:$F$16)))</f>
        <v>8</v>
      </c>
      <c r="C185" s="29" t="n">
        <f aca="false">INDEX(Sprint_Metrics!$F$7:$F$16,RANDBETWEEN(1,ROWS(Sprint_Metrics!$F$7:$F$16)))</f>
        <v>9</v>
      </c>
      <c r="D185" s="29" t="n">
        <f aca="false">INDEX(Sprint_Metrics!$F$7:$F$16,RANDBETWEEN(1,ROWS(Sprint_Metrics!$F$7:$F$16)))</f>
        <v>7</v>
      </c>
      <c r="E185" s="29" t="n">
        <f aca="false">INDEX(Sprint_Metrics!$F$7:$F$16,RANDBETWEEN(1,ROWS(Sprint_Metrics!$F$7:$F$16)))</f>
        <v>9</v>
      </c>
      <c r="F185" s="29" t="n">
        <f aca="false">INDEX(Sprint_Metrics!$F$7:$F$16,RANDBETWEEN(1,ROWS(Sprint_Metrics!$F$7:$F$16)))</f>
        <v>8</v>
      </c>
      <c r="G185" s="29" t="n">
        <f aca="false">INDEX(Sprint_Metrics!$F$7:$F$16,RANDBETWEEN(1,ROWS(Sprint_Metrics!$F$7:$F$16)))</f>
        <v>9</v>
      </c>
      <c r="H185" s="29" t="n">
        <f aca="false">INDEX(Sprint_Metrics!$F$7:$F$16,RANDBETWEEN(1,ROWS(Sprint_Metrics!$F$7:$F$16)))</f>
        <v>7</v>
      </c>
      <c r="I185" s="29" t="n">
        <f aca="false">INDEX(Sprint_Metrics!$F$7:$F$16,RANDBETWEEN(1,ROWS(Sprint_Metrics!$F$7:$F$16)))</f>
        <v>7</v>
      </c>
      <c r="J185" s="29" t="n">
        <f aca="false">B185</f>
        <v>8</v>
      </c>
      <c r="K185" s="29" t="n">
        <f aca="false">J185+C185</f>
        <v>17</v>
      </c>
      <c r="L185" s="29" t="n">
        <f aca="false">K185+D185</f>
        <v>24</v>
      </c>
      <c r="M185" s="29" t="n">
        <f aca="false">L185+E185</f>
        <v>33</v>
      </c>
      <c r="N185" s="29" t="n">
        <f aca="false">M185+F185</f>
        <v>41</v>
      </c>
      <c r="O185" s="29" t="n">
        <f aca="false">N185+G185</f>
        <v>50</v>
      </c>
      <c r="P185" s="29" t="n">
        <f aca="false">O185+H185</f>
        <v>57</v>
      </c>
      <c r="Q185" s="29" t="n">
        <f aca="false">P185+I185</f>
        <v>64</v>
      </c>
    </row>
    <row r="186" customFormat="false" ht="15" hidden="false" customHeight="false" outlineLevel="0" collapsed="false">
      <c r="A186" s="29" t="n">
        <v>185</v>
      </c>
      <c r="B186" s="29" t="n">
        <f aca="false">INDEX(Sprint_Metrics!$F$7:$F$16,RANDBETWEEN(1,ROWS(Sprint_Metrics!$F$7:$F$16)))</f>
        <v>11</v>
      </c>
      <c r="C186" s="29" t="n">
        <f aca="false">INDEX(Sprint_Metrics!$F$7:$F$16,RANDBETWEEN(1,ROWS(Sprint_Metrics!$F$7:$F$16)))</f>
        <v>9</v>
      </c>
      <c r="D186" s="29" t="n">
        <f aca="false">INDEX(Sprint_Metrics!$F$7:$F$16,RANDBETWEEN(1,ROWS(Sprint_Metrics!$F$7:$F$16)))</f>
        <v>8</v>
      </c>
      <c r="E186" s="29" t="n">
        <f aca="false">INDEX(Sprint_Metrics!$F$7:$F$16,RANDBETWEEN(1,ROWS(Sprint_Metrics!$F$7:$F$16)))</f>
        <v>11</v>
      </c>
      <c r="F186" s="29" t="n">
        <f aca="false">INDEX(Sprint_Metrics!$F$7:$F$16,RANDBETWEEN(1,ROWS(Sprint_Metrics!$F$7:$F$16)))</f>
        <v>8</v>
      </c>
      <c r="G186" s="29" t="n">
        <f aca="false">INDEX(Sprint_Metrics!$F$7:$F$16,RANDBETWEEN(1,ROWS(Sprint_Metrics!$F$7:$F$16)))</f>
        <v>11</v>
      </c>
      <c r="H186" s="29" t="n">
        <f aca="false">INDEX(Sprint_Metrics!$F$7:$F$16,RANDBETWEEN(1,ROWS(Sprint_Metrics!$F$7:$F$16)))</f>
        <v>7</v>
      </c>
      <c r="I186" s="29" t="n">
        <f aca="false">INDEX(Sprint_Metrics!$F$7:$F$16,RANDBETWEEN(1,ROWS(Sprint_Metrics!$F$7:$F$16)))</f>
        <v>7</v>
      </c>
      <c r="J186" s="29" t="n">
        <f aca="false">B186</f>
        <v>11</v>
      </c>
      <c r="K186" s="29" t="n">
        <f aca="false">J186+C186</f>
        <v>20</v>
      </c>
      <c r="L186" s="29" t="n">
        <f aca="false">K186+D186</f>
        <v>28</v>
      </c>
      <c r="M186" s="29" t="n">
        <f aca="false">L186+E186</f>
        <v>39</v>
      </c>
      <c r="N186" s="29" t="n">
        <f aca="false">M186+F186</f>
        <v>47</v>
      </c>
      <c r="O186" s="29" t="n">
        <f aca="false">N186+G186</f>
        <v>58</v>
      </c>
      <c r="P186" s="29" t="n">
        <f aca="false">O186+H186</f>
        <v>65</v>
      </c>
      <c r="Q186" s="29" t="n">
        <f aca="false">P186+I186</f>
        <v>72</v>
      </c>
    </row>
    <row r="187" customFormat="false" ht="15" hidden="false" customHeight="false" outlineLevel="0" collapsed="false">
      <c r="A187" s="29" t="n">
        <v>186</v>
      </c>
      <c r="B187" s="29" t="n">
        <f aca="false">INDEX(Sprint_Metrics!$F$7:$F$16,RANDBETWEEN(1,ROWS(Sprint_Metrics!$F$7:$F$16)))</f>
        <v>8</v>
      </c>
      <c r="C187" s="29" t="n">
        <f aca="false">INDEX(Sprint_Metrics!$F$7:$F$16,RANDBETWEEN(1,ROWS(Sprint_Metrics!$F$7:$F$16)))</f>
        <v>7</v>
      </c>
      <c r="D187" s="29" t="n">
        <f aca="false">INDEX(Sprint_Metrics!$F$7:$F$16,RANDBETWEEN(1,ROWS(Sprint_Metrics!$F$7:$F$16)))</f>
        <v>8</v>
      </c>
      <c r="E187" s="29" t="n">
        <f aca="false">INDEX(Sprint_Metrics!$F$7:$F$16,RANDBETWEEN(1,ROWS(Sprint_Metrics!$F$7:$F$16)))</f>
        <v>8</v>
      </c>
      <c r="F187" s="29" t="n">
        <f aca="false">INDEX(Sprint_Metrics!$F$7:$F$16,RANDBETWEEN(1,ROWS(Sprint_Metrics!$F$7:$F$16)))</f>
        <v>7</v>
      </c>
      <c r="G187" s="29" t="n">
        <f aca="false">INDEX(Sprint_Metrics!$F$7:$F$16,RANDBETWEEN(1,ROWS(Sprint_Metrics!$F$7:$F$16)))</f>
        <v>8</v>
      </c>
      <c r="H187" s="29" t="n">
        <f aca="false">INDEX(Sprint_Metrics!$F$7:$F$16,RANDBETWEEN(1,ROWS(Sprint_Metrics!$F$7:$F$16)))</f>
        <v>11</v>
      </c>
      <c r="I187" s="29" t="n">
        <f aca="false">INDEX(Sprint_Metrics!$F$7:$F$16,RANDBETWEEN(1,ROWS(Sprint_Metrics!$F$7:$F$16)))</f>
        <v>8</v>
      </c>
      <c r="J187" s="29" t="n">
        <f aca="false">B187</f>
        <v>8</v>
      </c>
      <c r="K187" s="29" t="n">
        <f aca="false">J187+C187</f>
        <v>15</v>
      </c>
      <c r="L187" s="29" t="n">
        <f aca="false">K187+D187</f>
        <v>23</v>
      </c>
      <c r="M187" s="29" t="n">
        <f aca="false">L187+E187</f>
        <v>31</v>
      </c>
      <c r="N187" s="29" t="n">
        <f aca="false">M187+F187</f>
        <v>38</v>
      </c>
      <c r="O187" s="29" t="n">
        <f aca="false">N187+G187</f>
        <v>46</v>
      </c>
      <c r="P187" s="29" t="n">
        <f aca="false">O187+H187</f>
        <v>57</v>
      </c>
      <c r="Q187" s="29" t="n">
        <f aca="false">P187+I187</f>
        <v>65</v>
      </c>
    </row>
    <row r="188" customFormat="false" ht="15" hidden="false" customHeight="false" outlineLevel="0" collapsed="false">
      <c r="A188" s="29" t="n">
        <v>187</v>
      </c>
      <c r="B188" s="29" t="n">
        <f aca="false">INDEX(Sprint_Metrics!$F$7:$F$16,RANDBETWEEN(1,ROWS(Sprint_Metrics!$F$7:$F$16)))</f>
        <v>9</v>
      </c>
      <c r="C188" s="29" t="n">
        <f aca="false">INDEX(Sprint_Metrics!$F$7:$F$16,RANDBETWEEN(1,ROWS(Sprint_Metrics!$F$7:$F$16)))</f>
        <v>7</v>
      </c>
      <c r="D188" s="29" t="n">
        <f aca="false">INDEX(Sprint_Metrics!$F$7:$F$16,RANDBETWEEN(1,ROWS(Sprint_Metrics!$F$7:$F$16)))</f>
        <v>7</v>
      </c>
      <c r="E188" s="29" t="n">
        <f aca="false">INDEX(Sprint_Metrics!$F$7:$F$16,RANDBETWEEN(1,ROWS(Sprint_Metrics!$F$7:$F$16)))</f>
        <v>11</v>
      </c>
      <c r="F188" s="29" t="n">
        <f aca="false">INDEX(Sprint_Metrics!$F$7:$F$16,RANDBETWEEN(1,ROWS(Sprint_Metrics!$F$7:$F$16)))</f>
        <v>11</v>
      </c>
      <c r="G188" s="29" t="n">
        <f aca="false">INDEX(Sprint_Metrics!$F$7:$F$16,RANDBETWEEN(1,ROWS(Sprint_Metrics!$F$7:$F$16)))</f>
        <v>8</v>
      </c>
      <c r="H188" s="29" t="n">
        <f aca="false">INDEX(Sprint_Metrics!$F$7:$F$16,RANDBETWEEN(1,ROWS(Sprint_Metrics!$F$7:$F$16)))</f>
        <v>7</v>
      </c>
      <c r="I188" s="29" t="n">
        <f aca="false">INDEX(Sprint_Metrics!$F$7:$F$16,RANDBETWEEN(1,ROWS(Sprint_Metrics!$F$7:$F$16)))</f>
        <v>11</v>
      </c>
      <c r="J188" s="29" t="n">
        <f aca="false">B188</f>
        <v>9</v>
      </c>
      <c r="K188" s="29" t="n">
        <f aca="false">J188+C188</f>
        <v>16</v>
      </c>
      <c r="L188" s="29" t="n">
        <f aca="false">K188+D188</f>
        <v>23</v>
      </c>
      <c r="M188" s="29" t="n">
        <f aca="false">L188+E188</f>
        <v>34</v>
      </c>
      <c r="N188" s="29" t="n">
        <f aca="false">M188+F188</f>
        <v>45</v>
      </c>
      <c r="O188" s="29" t="n">
        <f aca="false">N188+G188</f>
        <v>53</v>
      </c>
      <c r="P188" s="29" t="n">
        <f aca="false">O188+H188</f>
        <v>60</v>
      </c>
      <c r="Q188" s="29" t="n">
        <f aca="false">P188+I188</f>
        <v>71</v>
      </c>
    </row>
    <row r="189" customFormat="false" ht="15" hidden="false" customHeight="false" outlineLevel="0" collapsed="false">
      <c r="A189" s="29" t="n">
        <v>188</v>
      </c>
      <c r="B189" s="29" t="n">
        <f aca="false">INDEX(Sprint_Metrics!$F$7:$F$16,RANDBETWEEN(1,ROWS(Sprint_Metrics!$F$7:$F$16)))</f>
        <v>9</v>
      </c>
      <c r="C189" s="29" t="n">
        <f aca="false">INDEX(Sprint_Metrics!$F$7:$F$16,RANDBETWEEN(1,ROWS(Sprint_Metrics!$F$7:$F$16)))</f>
        <v>8</v>
      </c>
      <c r="D189" s="29" t="n">
        <f aca="false">INDEX(Sprint_Metrics!$F$7:$F$16,RANDBETWEEN(1,ROWS(Sprint_Metrics!$F$7:$F$16)))</f>
        <v>7</v>
      </c>
      <c r="E189" s="29" t="n">
        <f aca="false">INDEX(Sprint_Metrics!$F$7:$F$16,RANDBETWEEN(1,ROWS(Sprint_Metrics!$F$7:$F$16)))</f>
        <v>11</v>
      </c>
      <c r="F189" s="29" t="n">
        <f aca="false">INDEX(Sprint_Metrics!$F$7:$F$16,RANDBETWEEN(1,ROWS(Sprint_Metrics!$F$7:$F$16)))</f>
        <v>11</v>
      </c>
      <c r="G189" s="29" t="n">
        <f aca="false">INDEX(Sprint_Metrics!$F$7:$F$16,RANDBETWEEN(1,ROWS(Sprint_Metrics!$F$7:$F$16)))</f>
        <v>9</v>
      </c>
      <c r="H189" s="29" t="n">
        <f aca="false">INDEX(Sprint_Metrics!$F$7:$F$16,RANDBETWEEN(1,ROWS(Sprint_Metrics!$F$7:$F$16)))</f>
        <v>12</v>
      </c>
      <c r="I189" s="29" t="n">
        <f aca="false">INDEX(Sprint_Metrics!$F$7:$F$16,RANDBETWEEN(1,ROWS(Sprint_Metrics!$F$7:$F$16)))</f>
        <v>7</v>
      </c>
      <c r="J189" s="29" t="n">
        <f aca="false">B189</f>
        <v>9</v>
      </c>
      <c r="K189" s="29" t="n">
        <f aca="false">J189+C189</f>
        <v>17</v>
      </c>
      <c r="L189" s="29" t="n">
        <f aca="false">K189+D189</f>
        <v>24</v>
      </c>
      <c r="M189" s="29" t="n">
        <f aca="false">L189+E189</f>
        <v>35</v>
      </c>
      <c r="N189" s="29" t="n">
        <f aca="false">M189+F189</f>
        <v>46</v>
      </c>
      <c r="O189" s="29" t="n">
        <f aca="false">N189+G189</f>
        <v>55</v>
      </c>
      <c r="P189" s="29" t="n">
        <f aca="false">O189+H189</f>
        <v>67</v>
      </c>
      <c r="Q189" s="29" t="n">
        <f aca="false">P189+I189</f>
        <v>74</v>
      </c>
    </row>
    <row r="190" customFormat="false" ht="15" hidden="false" customHeight="false" outlineLevel="0" collapsed="false">
      <c r="A190" s="29" t="n">
        <v>189</v>
      </c>
      <c r="B190" s="29" t="n">
        <f aca="false">INDEX(Sprint_Metrics!$F$7:$F$16,RANDBETWEEN(1,ROWS(Sprint_Metrics!$F$7:$F$16)))</f>
        <v>8</v>
      </c>
      <c r="C190" s="29" t="n">
        <f aca="false">INDEX(Sprint_Metrics!$F$7:$F$16,RANDBETWEEN(1,ROWS(Sprint_Metrics!$F$7:$F$16)))</f>
        <v>9</v>
      </c>
      <c r="D190" s="29" t="n">
        <f aca="false">INDEX(Sprint_Metrics!$F$7:$F$16,RANDBETWEEN(1,ROWS(Sprint_Metrics!$F$7:$F$16)))</f>
        <v>8</v>
      </c>
      <c r="E190" s="29" t="n">
        <f aca="false">INDEX(Sprint_Metrics!$F$7:$F$16,RANDBETWEEN(1,ROWS(Sprint_Metrics!$F$7:$F$16)))</f>
        <v>12</v>
      </c>
      <c r="F190" s="29" t="n">
        <f aca="false">INDEX(Sprint_Metrics!$F$7:$F$16,RANDBETWEEN(1,ROWS(Sprint_Metrics!$F$7:$F$16)))</f>
        <v>8</v>
      </c>
      <c r="G190" s="29" t="n">
        <f aca="false">INDEX(Sprint_Metrics!$F$7:$F$16,RANDBETWEEN(1,ROWS(Sprint_Metrics!$F$7:$F$16)))</f>
        <v>11</v>
      </c>
      <c r="H190" s="29" t="n">
        <f aca="false">INDEX(Sprint_Metrics!$F$7:$F$16,RANDBETWEEN(1,ROWS(Sprint_Metrics!$F$7:$F$16)))</f>
        <v>9</v>
      </c>
      <c r="I190" s="29" t="n">
        <f aca="false">INDEX(Sprint_Metrics!$F$7:$F$16,RANDBETWEEN(1,ROWS(Sprint_Metrics!$F$7:$F$16)))</f>
        <v>8</v>
      </c>
      <c r="J190" s="29" t="n">
        <f aca="false">B190</f>
        <v>8</v>
      </c>
      <c r="K190" s="29" t="n">
        <f aca="false">J190+C190</f>
        <v>17</v>
      </c>
      <c r="L190" s="29" t="n">
        <f aca="false">K190+D190</f>
        <v>25</v>
      </c>
      <c r="M190" s="29" t="n">
        <f aca="false">L190+E190</f>
        <v>37</v>
      </c>
      <c r="N190" s="29" t="n">
        <f aca="false">M190+F190</f>
        <v>45</v>
      </c>
      <c r="O190" s="29" t="n">
        <f aca="false">N190+G190</f>
        <v>56</v>
      </c>
      <c r="P190" s="29" t="n">
        <f aca="false">O190+H190</f>
        <v>65</v>
      </c>
      <c r="Q190" s="29" t="n">
        <f aca="false">P190+I190</f>
        <v>73</v>
      </c>
    </row>
    <row r="191" customFormat="false" ht="15" hidden="false" customHeight="false" outlineLevel="0" collapsed="false">
      <c r="A191" s="29" t="n">
        <v>190</v>
      </c>
      <c r="B191" s="29" t="n">
        <f aca="false">INDEX(Sprint_Metrics!$F$7:$F$16,RANDBETWEEN(1,ROWS(Sprint_Metrics!$F$7:$F$16)))</f>
        <v>8</v>
      </c>
      <c r="C191" s="29" t="n">
        <f aca="false">INDEX(Sprint_Metrics!$F$7:$F$16,RANDBETWEEN(1,ROWS(Sprint_Metrics!$F$7:$F$16)))</f>
        <v>12</v>
      </c>
      <c r="D191" s="29" t="n">
        <f aca="false">INDEX(Sprint_Metrics!$F$7:$F$16,RANDBETWEEN(1,ROWS(Sprint_Metrics!$F$7:$F$16)))</f>
        <v>8</v>
      </c>
      <c r="E191" s="29" t="n">
        <f aca="false">INDEX(Sprint_Metrics!$F$7:$F$16,RANDBETWEEN(1,ROWS(Sprint_Metrics!$F$7:$F$16)))</f>
        <v>8</v>
      </c>
      <c r="F191" s="29" t="n">
        <f aca="false">INDEX(Sprint_Metrics!$F$7:$F$16,RANDBETWEEN(1,ROWS(Sprint_Metrics!$F$7:$F$16)))</f>
        <v>11</v>
      </c>
      <c r="G191" s="29" t="n">
        <f aca="false">INDEX(Sprint_Metrics!$F$7:$F$16,RANDBETWEEN(1,ROWS(Sprint_Metrics!$F$7:$F$16)))</f>
        <v>8</v>
      </c>
      <c r="H191" s="29" t="n">
        <f aca="false">INDEX(Sprint_Metrics!$F$7:$F$16,RANDBETWEEN(1,ROWS(Sprint_Metrics!$F$7:$F$16)))</f>
        <v>8</v>
      </c>
      <c r="I191" s="29" t="n">
        <f aca="false">INDEX(Sprint_Metrics!$F$7:$F$16,RANDBETWEEN(1,ROWS(Sprint_Metrics!$F$7:$F$16)))</f>
        <v>7</v>
      </c>
      <c r="J191" s="29" t="n">
        <f aca="false">B191</f>
        <v>8</v>
      </c>
      <c r="K191" s="29" t="n">
        <f aca="false">J191+C191</f>
        <v>20</v>
      </c>
      <c r="L191" s="29" t="n">
        <f aca="false">K191+D191</f>
        <v>28</v>
      </c>
      <c r="M191" s="29" t="n">
        <f aca="false">L191+E191</f>
        <v>36</v>
      </c>
      <c r="N191" s="29" t="n">
        <f aca="false">M191+F191</f>
        <v>47</v>
      </c>
      <c r="O191" s="29" t="n">
        <f aca="false">N191+G191</f>
        <v>55</v>
      </c>
      <c r="P191" s="29" t="n">
        <f aca="false">O191+H191</f>
        <v>63</v>
      </c>
      <c r="Q191" s="29" t="n">
        <f aca="false">P191+I191</f>
        <v>70</v>
      </c>
    </row>
    <row r="192" customFormat="false" ht="15" hidden="false" customHeight="false" outlineLevel="0" collapsed="false">
      <c r="A192" s="29" t="n">
        <v>191</v>
      </c>
      <c r="B192" s="29" t="n">
        <f aca="false">INDEX(Sprint_Metrics!$F$7:$F$16,RANDBETWEEN(1,ROWS(Sprint_Metrics!$F$7:$F$16)))</f>
        <v>11</v>
      </c>
      <c r="C192" s="29" t="n">
        <f aca="false">INDEX(Sprint_Metrics!$F$7:$F$16,RANDBETWEEN(1,ROWS(Sprint_Metrics!$F$7:$F$16)))</f>
        <v>9</v>
      </c>
      <c r="D192" s="29" t="n">
        <f aca="false">INDEX(Sprint_Metrics!$F$7:$F$16,RANDBETWEEN(1,ROWS(Sprint_Metrics!$F$7:$F$16)))</f>
        <v>7</v>
      </c>
      <c r="E192" s="29" t="n">
        <f aca="false">INDEX(Sprint_Metrics!$F$7:$F$16,RANDBETWEEN(1,ROWS(Sprint_Metrics!$F$7:$F$16)))</f>
        <v>11</v>
      </c>
      <c r="F192" s="29" t="n">
        <f aca="false">INDEX(Sprint_Metrics!$F$7:$F$16,RANDBETWEEN(1,ROWS(Sprint_Metrics!$F$7:$F$16)))</f>
        <v>9</v>
      </c>
      <c r="G192" s="29" t="n">
        <f aca="false">INDEX(Sprint_Metrics!$F$7:$F$16,RANDBETWEEN(1,ROWS(Sprint_Metrics!$F$7:$F$16)))</f>
        <v>7</v>
      </c>
      <c r="H192" s="29" t="n">
        <f aca="false">INDEX(Sprint_Metrics!$F$7:$F$16,RANDBETWEEN(1,ROWS(Sprint_Metrics!$F$7:$F$16)))</f>
        <v>12</v>
      </c>
      <c r="I192" s="29" t="n">
        <f aca="false">INDEX(Sprint_Metrics!$F$7:$F$16,RANDBETWEEN(1,ROWS(Sprint_Metrics!$F$7:$F$16)))</f>
        <v>7</v>
      </c>
      <c r="J192" s="29" t="n">
        <f aca="false">B192</f>
        <v>11</v>
      </c>
      <c r="K192" s="29" t="n">
        <f aca="false">J192+C192</f>
        <v>20</v>
      </c>
      <c r="L192" s="29" t="n">
        <f aca="false">K192+D192</f>
        <v>27</v>
      </c>
      <c r="M192" s="29" t="n">
        <f aca="false">L192+E192</f>
        <v>38</v>
      </c>
      <c r="N192" s="29" t="n">
        <f aca="false">M192+F192</f>
        <v>47</v>
      </c>
      <c r="O192" s="29" t="n">
        <f aca="false">N192+G192</f>
        <v>54</v>
      </c>
      <c r="P192" s="29" t="n">
        <f aca="false">O192+H192</f>
        <v>66</v>
      </c>
      <c r="Q192" s="29" t="n">
        <f aca="false">P192+I192</f>
        <v>73</v>
      </c>
    </row>
    <row r="193" customFormat="false" ht="15" hidden="false" customHeight="false" outlineLevel="0" collapsed="false">
      <c r="A193" s="29" t="n">
        <v>192</v>
      </c>
      <c r="B193" s="29" t="n">
        <f aca="false">INDEX(Sprint_Metrics!$F$7:$F$16,RANDBETWEEN(1,ROWS(Sprint_Metrics!$F$7:$F$16)))</f>
        <v>12</v>
      </c>
      <c r="C193" s="29" t="n">
        <f aca="false">INDEX(Sprint_Metrics!$F$7:$F$16,RANDBETWEEN(1,ROWS(Sprint_Metrics!$F$7:$F$16)))</f>
        <v>9</v>
      </c>
      <c r="D193" s="29" t="n">
        <f aca="false">INDEX(Sprint_Metrics!$F$7:$F$16,RANDBETWEEN(1,ROWS(Sprint_Metrics!$F$7:$F$16)))</f>
        <v>8</v>
      </c>
      <c r="E193" s="29" t="n">
        <f aca="false">INDEX(Sprint_Metrics!$F$7:$F$16,RANDBETWEEN(1,ROWS(Sprint_Metrics!$F$7:$F$16)))</f>
        <v>12</v>
      </c>
      <c r="F193" s="29" t="n">
        <f aca="false">INDEX(Sprint_Metrics!$F$7:$F$16,RANDBETWEEN(1,ROWS(Sprint_Metrics!$F$7:$F$16)))</f>
        <v>7</v>
      </c>
      <c r="G193" s="29" t="n">
        <f aca="false">INDEX(Sprint_Metrics!$F$7:$F$16,RANDBETWEEN(1,ROWS(Sprint_Metrics!$F$7:$F$16)))</f>
        <v>11</v>
      </c>
      <c r="H193" s="29" t="n">
        <f aca="false">INDEX(Sprint_Metrics!$F$7:$F$16,RANDBETWEEN(1,ROWS(Sprint_Metrics!$F$7:$F$16)))</f>
        <v>12</v>
      </c>
      <c r="I193" s="29" t="n">
        <f aca="false">INDEX(Sprint_Metrics!$F$7:$F$16,RANDBETWEEN(1,ROWS(Sprint_Metrics!$F$7:$F$16)))</f>
        <v>11</v>
      </c>
      <c r="J193" s="29" t="n">
        <f aca="false">B193</f>
        <v>12</v>
      </c>
      <c r="K193" s="29" t="n">
        <f aca="false">J193+C193</f>
        <v>21</v>
      </c>
      <c r="L193" s="29" t="n">
        <f aca="false">K193+D193</f>
        <v>29</v>
      </c>
      <c r="M193" s="29" t="n">
        <f aca="false">L193+E193</f>
        <v>41</v>
      </c>
      <c r="N193" s="29" t="n">
        <f aca="false">M193+F193</f>
        <v>48</v>
      </c>
      <c r="O193" s="29" t="n">
        <f aca="false">N193+G193</f>
        <v>59</v>
      </c>
      <c r="P193" s="29" t="n">
        <f aca="false">O193+H193</f>
        <v>71</v>
      </c>
      <c r="Q193" s="29" t="n">
        <f aca="false">P193+I193</f>
        <v>82</v>
      </c>
    </row>
    <row r="194" customFormat="false" ht="15" hidden="false" customHeight="false" outlineLevel="0" collapsed="false">
      <c r="A194" s="29" t="n">
        <v>193</v>
      </c>
      <c r="B194" s="29" t="n">
        <f aca="false">INDEX(Sprint_Metrics!$F$7:$F$16,RANDBETWEEN(1,ROWS(Sprint_Metrics!$F$7:$F$16)))</f>
        <v>8</v>
      </c>
      <c r="C194" s="29" t="n">
        <f aca="false">INDEX(Sprint_Metrics!$F$7:$F$16,RANDBETWEEN(1,ROWS(Sprint_Metrics!$F$7:$F$16)))</f>
        <v>8</v>
      </c>
      <c r="D194" s="29" t="n">
        <f aca="false">INDEX(Sprint_Metrics!$F$7:$F$16,RANDBETWEEN(1,ROWS(Sprint_Metrics!$F$7:$F$16)))</f>
        <v>8</v>
      </c>
      <c r="E194" s="29" t="n">
        <f aca="false">INDEX(Sprint_Metrics!$F$7:$F$16,RANDBETWEEN(1,ROWS(Sprint_Metrics!$F$7:$F$16)))</f>
        <v>8</v>
      </c>
      <c r="F194" s="29" t="n">
        <f aca="false">INDEX(Sprint_Metrics!$F$7:$F$16,RANDBETWEEN(1,ROWS(Sprint_Metrics!$F$7:$F$16)))</f>
        <v>7</v>
      </c>
      <c r="G194" s="29" t="n">
        <f aca="false">INDEX(Sprint_Metrics!$F$7:$F$16,RANDBETWEEN(1,ROWS(Sprint_Metrics!$F$7:$F$16)))</f>
        <v>7</v>
      </c>
      <c r="H194" s="29" t="n">
        <f aca="false">INDEX(Sprint_Metrics!$F$7:$F$16,RANDBETWEEN(1,ROWS(Sprint_Metrics!$F$7:$F$16)))</f>
        <v>11</v>
      </c>
      <c r="I194" s="29" t="n">
        <f aca="false">INDEX(Sprint_Metrics!$F$7:$F$16,RANDBETWEEN(1,ROWS(Sprint_Metrics!$F$7:$F$16)))</f>
        <v>11</v>
      </c>
      <c r="J194" s="29" t="n">
        <f aca="false">B194</f>
        <v>8</v>
      </c>
      <c r="K194" s="29" t="n">
        <f aca="false">J194+C194</f>
        <v>16</v>
      </c>
      <c r="L194" s="29" t="n">
        <f aca="false">K194+D194</f>
        <v>24</v>
      </c>
      <c r="M194" s="29" t="n">
        <f aca="false">L194+E194</f>
        <v>32</v>
      </c>
      <c r="N194" s="29" t="n">
        <f aca="false">M194+F194</f>
        <v>39</v>
      </c>
      <c r="O194" s="29" t="n">
        <f aca="false">N194+G194</f>
        <v>46</v>
      </c>
      <c r="P194" s="29" t="n">
        <f aca="false">O194+H194</f>
        <v>57</v>
      </c>
      <c r="Q194" s="29" t="n">
        <f aca="false">P194+I194</f>
        <v>68</v>
      </c>
    </row>
    <row r="195" customFormat="false" ht="15" hidden="false" customHeight="false" outlineLevel="0" collapsed="false">
      <c r="A195" s="29" t="n">
        <v>194</v>
      </c>
      <c r="B195" s="29" t="n">
        <f aca="false">INDEX(Sprint_Metrics!$F$7:$F$16,RANDBETWEEN(1,ROWS(Sprint_Metrics!$F$7:$F$16)))</f>
        <v>8</v>
      </c>
      <c r="C195" s="29" t="n">
        <f aca="false">INDEX(Sprint_Metrics!$F$7:$F$16,RANDBETWEEN(1,ROWS(Sprint_Metrics!$F$7:$F$16)))</f>
        <v>11</v>
      </c>
      <c r="D195" s="29" t="n">
        <f aca="false">INDEX(Sprint_Metrics!$F$7:$F$16,RANDBETWEEN(1,ROWS(Sprint_Metrics!$F$7:$F$16)))</f>
        <v>8</v>
      </c>
      <c r="E195" s="29" t="n">
        <f aca="false">INDEX(Sprint_Metrics!$F$7:$F$16,RANDBETWEEN(1,ROWS(Sprint_Metrics!$F$7:$F$16)))</f>
        <v>11</v>
      </c>
      <c r="F195" s="29" t="n">
        <f aca="false">INDEX(Sprint_Metrics!$F$7:$F$16,RANDBETWEEN(1,ROWS(Sprint_Metrics!$F$7:$F$16)))</f>
        <v>12</v>
      </c>
      <c r="G195" s="29" t="n">
        <f aca="false">INDEX(Sprint_Metrics!$F$7:$F$16,RANDBETWEEN(1,ROWS(Sprint_Metrics!$F$7:$F$16)))</f>
        <v>7</v>
      </c>
      <c r="H195" s="29" t="n">
        <f aca="false">INDEX(Sprint_Metrics!$F$7:$F$16,RANDBETWEEN(1,ROWS(Sprint_Metrics!$F$7:$F$16)))</f>
        <v>8</v>
      </c>
      <c r="I195" s="29" t="n">
        <f aca="false">INDEX(Sprint_Metrics!$F$7:$F$16,RANDBETWEEN(1,ROWS(Sprint_Metrics!$F$7:$F$16)))</f>
        <v>8</v>
      </c>
      <c r="J195" s="29" t="n">
        <f aca="false">B195</f>
        <v>8</v>
      </c>
      <c r="K195" s="29" t="n">
        <f aca="false">J195+C195</f>
        <v>19</v>
      </c>
      <c r="L195" s="29" t="n">
        <f aca="false">K195+D195</f>
        <v>27</v>
      </c>
      <c r="M195" s="29" t="n">
        <f aca="false">L195+E195</f>
        <v>38</v>
      </c>
      <c r="N195" s="29" t="n">
        <f aca="false">M195+F195</f>
        <v>50</v>
      </c>
      <c r="O195" s="29" t="n">
        <f aca="false">N195+G195</f>
        <v>57</v>
      </c>
      <c r="P195" s="29" t="n">
        <f aca="false">O195+H195</f>
        <v>65</v>
      </c>
      <c r="Q195" s="29" t="n">
        <f aca="false">P195+I195</f>
        <v>73</v>
      </c>
    </row>
    <row r="196" customFormat="false" ht="15" hidden="false" customHeight="false" outlineLevel="0" collapsed="false">
      <c r="A196" s="29" t="n">
        <v>195</v>
      </c>
      <c r="B196" s="29" t="n">
        <f aca="false">INDEX(Sprint_Metrics!$F$7:$F$16,RANDBETWEEN(1,ROWS(Sprint_Metrics!$F$7:$F$16)))</f>
        <v>11</v>
      </c>
      <c r="C196" s="29" t="n">
        <f aca="false">INDEX(Sprint_Metrics!$F$7:$F$16,RANDBETWEEN(1,ROWS(Sprint_Metrics!$F$7:$F$16)))</f>
        <v>7</v>
      </c>
      <c r="D196" s="29" t="n">
        <f aca="false">INDEX(Sprint_Metrics!$F$7:$F$16,RANDBETWEEN(1,ROWS(Sprint_Metrics!$F$7:$F$16)))</f>
        <v>8</v>
      </c>
      <c r="E196" s="29" t="n">
        <f aca="false">INDEX(Sprint_Metrics!$F$7:$F$16,RANDBETWEEN(1,ROWS(Sprint_Metrics!$F$7:$F$16)))</f>
        <v>8</v>
      </c>
      <c r="F196" s="29" t="n">
        <f aca="false">INDEX(Sprint_Metrics!$F$7:$F$16,RANDBETWEEN(1,ROWS(Sprint_Metrics!$F$7:$F$16)))</f>
        <v>11</v>
      </c>
      <c r="G196" s="29" t="n">
        <f aca="false">INDEX(Sprint_Metrics!$F$7:$F$16,RANDBETWEEN(1,ROWS(Sprint_Metrics!$F$7:$F$16)))</f>
        <v>8</v>
      </c>
      <c r="H196" s="29" t="n">
        <f aca="false">INDEX(Sprint_Metrics!$F$7:$F$16,RANDBETWEEN(1,ROWS(Sprint_Metrics!$F$7:$F$16)))</f>
        <v>9</v>
      </c>
      <c r="I196" s="29" t="n">
        <f aca="false">INDEX(Sprint_Metrics!$F$7:$F$16,RANDBETWEEN(1,ROWS(Sprint_Metrics!$F$7:$F$16)))</f>
        <v>11</v>
      </c>
      <c r="J196" s="29" t="n">
        <f aca="false">B196</f>
        <v>11</v>
      </c>
      <c r="K196" s="29" t="n">
        <f aca="false">J196+C196</f>
        <v>18</v>
      </c>
      <c r="L196" s="29" t="n">
        <f aca="false">K196+D196</f>
        <v>26</v>
      </c>
      <c r="M196" s="29" t="n">
        <f aca="false">L196+E196</f>
        <v>34</v>
      </c>
      <c r="N196" s="29" t="n">
        <f aca="false">M196+F196</f>
        <v>45</v>
      </c>
      <c r="O196" s="29" t="n">
        <f aca="false">N196+G196</f>
        <v>53</v>
      </c>
      <c r="P196" s="29" t="n">
        <f aca="false">O196+H196</f>
        <v>62</v>
      </c>
      <c r="Q196" s="29" t="n">
        <f aca="false">P196+I196</f>
        <v>73</v>
      </c>
    </row>
    <row r="197" customFormat="false" ht="15" hidden="false" customHeight="false" outlineLevel="0" collapsed="false">
      <c r="A197" s="29" t="n">
        <v>196</v>
      </c>
      <c r="B197" s="29" t="n">
        <f aca="false">INDEX(Sprint_Metrics!$F$7:$F$16,RANDBETWEEN(1,ROWS(Sprint_Metrics!$F$7:$F$16)))</f>
        <v>8</v>
      </c>
      <c r="C197" s="29" t="n">
        <f aca="false">INDEX(Sprint_Metrics!$F$7:$F$16,RANDBETWEEN(1,ROWS(Sprint_Metrics!$F$7:$F$16)))</f>
        <v>9</v>
      </c>
      <c r="D197" s="29" t="n">
        <f aca="false">INDEX(Sprint_Metrics!$F$7:$F$16,RANDBETWEEN(1,ROWS(Sprint_Metrics!$F$7:$F$16)))</f>
        <v>9</v>
      </c>
      <c r="E197" s="29" t="n">
        <f aca="false">INDEX(Sprint_Metrics!$F$7:$F$16,RANDBETWEEN(1,ROWS(Sprint_Metrics!$F$7:$F$16)))</f>
        <v>11</v>
      </c>
      <c r="F197" s="29" t="n">
        <f aca="false">INDEX(Sprint_Metrics!$F$7:$F$16,RANDBETWEEN(1,ROWS(Sprint_Metrics!$F$7:$F$16)))</f>
        <v>8</v>
      </c>
      <c r="G197" s="29" t="n">
        <f aca="false">INDEX(Sprint_Metrics!$F$7:$F$16,RANDBETWEEN(1,ROWS(Sprint_Metrics!$F$7:$F$16)))</f>
        <v>11</v>
      </c>
      <c r="H197" s="29" t="n">
        <f aca="false">INDEX(Sprint_Metrics!$F$7:$F$16,RANDBETWEEN(1,ROWS(Sprint_Metrics!$F$7:$F$16)))</f>
        <v>8</v>
      </c>
      <c r="I197" s="29" t="n">
        <f aca="false">INDEX(Sprint_Metrics!$F$7:$F$16,RANDBETWEEN(1,ROWS(Sprint_Metrics!$F$7:$F$16)))</f>
        <v>7</v>
      </c>
      <c r="J197" s="29" t="n">
        <f aca="false">B197</f>
        <v>8</v>
      </c>
      <c r="K197" s="29" t="n">
        <f aca="false">J197+C197</f>
        <v>17</v>
      </c>
      <c r="L197" s="29" t="n">
        <f aca="false">K197+D197</f>
        <v>26</v>
      </c>
      <c r="M197" s="29" t="n">
        <f aca="false">L197+E197</f>
        <v>37</v>
      </c>
      <c r="N197" s="29" t="n">
        <f aca="false">M197+F197</f>
        <v>45</v>
      </c>
      <c r="O197" s="29" t="n">
        <f aca="false">N197+G197</f>
        <v>56</v>
      </c>
      <c r="P197" s="29" t="n">
        <f aca="false">O197+H197</f>
        <v>64</v>
      </c>
      <c r="Q197" s="29" t="n">
        <f aca="false">P197+I197</f>
        <v>71</v>
      </c>
    </row>
    <row r="198" customFormat="false" ht="15" hidden="false" customHeight="false" outlineLevel="0" collapsed="false">
      <c r="A198" s="29" t="n">
        <v>197</v>
      </c>
      <c r="B198" s="29" t="n">
        <f aca="false">INDEX(Sprint_Metrics!$F$7:$F$16,RANDBETWEEN(1,ROWS(Sprint_Metrics!$F$7:$F$16)))</f>
        <v>8</v>
      </c>
      <c r="C198" s="29" t="n">
        <f aca="false">INDEX(Sprint_Metrics!$F$7:$F$16,RANDBETWEEN(1,ROWS(Sprint_Metrics!$F$7:$F$16)))</f>
        <v>9</v>
      </c>
      <c r="D198" s="29" t="n">
        <f aca="false">INDEX(Sprint_Metrics!$F$7:$F$16,RANDBETWEEN(1,ROWS(Sprint_Metrics!$F$7:$F$16)))</f>
        <v>7</v>
      </c>
      <c r="E198" s="29" t="n">
        <f aca="false">INDEX(Sprint_Metrics!$F$7:$F$16,RANDBETWEEN(1,ROWS(Sprint_Metrics!$F$7:$F$16)))</f>
        <v>7</v>
      </c>
      <c r="F198" s="29" t="n">
        <f aca="false">INDEX(Sprint_Metrics!$F$7:$F$16,RANDBETWEEN(1,ROWS(Sprint_Metrics!$F$7:$F$16)))</f>
        <v>9</v>
      </c>
      <c r="G198" s="29" t="n">
        <f aca="false">INDEX(Sprint_Metrics!$F$7:$F$16,RANDBETWEEN(1,ROWS(Sprint_Metrics!$F$7:$F$16)))</f>
        <v>9</v>
      </c>
      <c r="H198" s="29" t="n">
        <f aca="false">INDEX(Sprint_Metrics!$F$7:$F$16,RANDBETWEEN(1,ROWS(Sprint_Metrics!$F$7:$F$16)))</f>
        <v>8</v>
      </c>
      <c r="I198" s="29" t="n">
        <f aca="false">INDEX(Sprint_Metrics!$F$7:$F$16,RANDBETWEEN(1,ROWS(Sprint_Metrics!$F$7:$F$16)))</f>
        <v>9</v>
      </c>
      <c r="J198" s="29" t="n">
        <f aca="false">B198</f>
        <v>8</v>
      </c>
      <c r="K198" s="29" t="n">
        <f aca="false">J198+C198</f>
        <v>17</v>
      </c>
      <c r="L198" s="29" t="n">
        <f aca="false">K198+D198</f>
        <v>24</v>
      </c>
      <c r="M198" s="29" t="n">
        <f aca="false">L198+E198</f>
        <v>31</v>
      </c>
      <c r="N198" s="29" t="n">
        <f aca="false">M198+F198</f>
        <v>40</v>
      </c>
      <c r="O198" s="29" t="n">
        <f aca="false">N198+G198</f>
        <v>49</v>
      </c>
      <c r="P198" s="29" t="n">
        <f aca="false">O198+H198</f>
        <v>57</v>
      </c>
      <c r="Q198" s="29" t="n">
        <f aca="false">P198+I198</f>
        <v>66</v>
      </c>
    </row>
    <row r="199" customFormat="false" ht="15" hidden="false" customHeight="false" outlineLevel="0" collapsed="false">
      <c r="A199" s="29" t="n">
        <v>198</v>
      </c>
      <c r="B199" s="29" t="n">
        <f aca="false">INDEX(Sprint_Metrics!$F$7:$F$16,RANDBETWEEN(1,ROWS(Sprint_Metrics!$F$7:$F$16)))</f>
        <v>7</v>
      </c>
      <c r="C199" s="29" t="n">
        <f aca="false">INDEX(Sprint_Metrics!$F$7:$F$16,RANDBETWEEN(1,ROWS(Sprint_Metrics!$F$7:$F$16)))</f>
        <v>7</v>
      </c>
      <c r="D199" s="29" t="n">
        <f aca="false">INDEX(Sprint_Metrics!$F$7:$F$16,RANDBETWEEN(1,ROWS(Sprint_Metrics!$F$7:$F$16)))</f>
        <v>8</v>
      </c>
      <c r="E199" s="29" t="n">
        <f aca="false">INDEX(Sprint_Metrics!$F$7:$F$16,RANDBETWEEN(1,ROWS(Sprint_Metrics!$F$7:$F$16)))</f>
        <v>11</v>
      </c>
      <c r="F199" s="29" t="n">
        <f aca="false">INDEX(Sprint_Metrics!$F$7:$F$16,RANDBETWEEN(1,ROWS(Sprint_Metrics!$F$7:$F$16)))</f>
        <v>8</v>
      </c>
      <c r="G199" s="29" t="n">
        <f aca="false">INDEX(Sprint_Metrics!$F$7:$F$16,RANDBETWEEN(1,ROWS(Sprint_Metrics!$F$7:$F$16)))</f>
        <v>8</v>
      </c>
      <c r="H199" s="29" t="n">
        <f aca="false">INDEX(Sprint_Metrics!$F$7:$F$16,RANDBETWEEN(1,ROWS(Sprint_Metrics!$F$7:$F$16)))</f>
        <v>8</v>
      </c>
      <c r="I199" s="29" t="n">
        <f aca="false">INDEX(Sprint_Metrics!$F$7:$F$16,RANDBETWEEN(1,ROWS(Sprint_Metrics!$F$7:$F$16)))</f>
        <v>8</v>
      </c>
      <c r="J199" s="29" t="n">
        <f aca="false">B199</f>
        <v>7</v>
      </c>
      <c r="K199" s="29" t="n">
        <f aca="false">J199+C199</f>
        <v>14</v>
      </c>
      <c r="L199" s="29" t="n">
        <f aca="false">K199+D199</f>
        <v>22</v>
      </c>
      <c r="M199" s="29" t="n">
        <f aca="false">L199+E199</f>
        <v>33</v>
      </c>
      <c r="N199" s="29" t="n">
        <f aca="false">M199+F199</f>
        <v>41</v>
      </c>
      <c r="O199" s="29" t="n">
        <f aca="false">N199+G199</f>
        <v>49</v>
      </c>
      <c r="P199" s="29" t="n">
        <f aca="false">O199+H199</f>
        <v>57</v>
      </c>
      <c r="Q199" s="29" t="n">
        <f aca="false">P199+I199</f>
        <v>65</v>
      </c>
    </row>
    <row r="200" customFormat="false" ht="15" hidden="false" customHeight="false" outlineLevel="0" collapsed="false">
      <c r="A200" s="29" t="n">
        <v>199</v>
      </c>
      <c r="B200" s="29" t="n">
        <f aca="false">INDEX(Sprint_Metrics!$F$7:$F$16,RANDBETWEEN(1,ROWS(Sprint_Metrics!$F$7:$F$16)))</f>
        <v>11</v>
      </c>
      <c r="C200" s="29" t="n">
        <f aca="false">INDEX(Sprint_Metrics!$F$7:$F$16,RANDBETWEEN(1,ROWS(Sprint_Metrics!$F$7:$F$16)))</f>
        <v>12</v>
      </c>
      <c r="D200" s="29" t="n">
        <f aca="false">INDEX(Sprint_Metrics!$F$7:$F$16,RANDBETWEEN(1,ROWS(Sprint_Metrics!$F$7:$F$16)))</f>
        <v>7</v>
      </c>
      <c r="E200" s="29" t="n">
        <f aca="false">INDEX(Sprint_Metrics!$F$7:$F$16,RANDBETWEEN(1,ROWS(Sprint_Metrics!$F$7:$F$16)))</f>
        <v>8</v>
      </c>
      <c r="F200" s="29" t="n">
        <f aca="false">INDEX(Sprint_Metrics!$F$7:$F$16,RANDBETWEEN(1,ROWS(Sprint_Metrics!$F$7:$F$16)))</f>
        <v>8</v>
      </c>
      <c r="G200" s="29" t="n">
        <f aca="false">INDEX(Sprint_Metrics!$F$7:$F$16,RANDBETWEEN(1,ROWS(Sprint_Metrics!$F$7:$F$16)))</f>
        <v>12</v>
      </c>
      <c r="H200" s="29" t="n">
        <f aca="false">INDEX(Sprint_Metrics!$F$7:$F$16,RANDBETWEEN(1,ROWS(Sprint_Metrics!$F$7:$F$16)))</f>
        <v>12</v>
      </c>
      <c r="I200" s="29" t="n">
        <f aca="false">INDEX(Sprint_Metrics!$F$7:$F$16,RANDBETWEEN(1,ROWS(Sprint_Metrics!$F$7:$F$16)))</f>
        <v>7</v>
      </c>
      <c r="J200" s="29" t="n">
        <f aca="false">B200</f>
        <v>11</v>
      </c>
      <c r="K200" s="29" t="n">
        <f aca="false">J200+C200</f>
        <v>23</v>
      </c>
      <c r="L200" s="29" t="n">
        <f aca="false">K200+D200</f>
        <v>30</v>
      </c>
      <c r="M200" s="29" t="n">
        <f aca="false">L200+E200</f>
        <v>38</v>
      </c>
      <c r="N200" s="29" t="n">
        <f aca="false">M200+F200</f>
        <v>46</v>
      </c>
      <c r="O200" s="29" t="n">
        <f aca="false">N200+G200</f>
        <v>58</v>
      </c>
      <c r="P200" s="29" t="n">
        <f aca="false">O200+H200</f>
        <v>70</v>
      </c>
      <c r="Q200" s="29" t="n">
        <f aca="false">P200+I200</f>
        <v>77</v>
      </c>
    </row>
    <row r="201" customFormat="false" ht="15" hidden="false" customHeight="false" outlineLevel="0" collapsed="false">
      <c r="A201" s="29" t="n">
        <v>200</v>
      </c>
      <c r="B201" s="29" t="n">
        <f aca="false">INDEX(Sprint_Metrics!$F$7:$F$16,RANDBETWEEN(1,ROWS(Sprint_Metrics!$F$7:$F$16)))</f>
        <v>8</v>
      </c>
      <c r="C201" s="29" t="n">
        <f aca="false">INDEX(Sprint_Metrics!$F$7:$F$16,RANDBETWEEN(1,ROWS(Sprint_Metrics!$F$7:$F$16)))</f>
        <v>8</v>
      </c>
      <c r="D201" s="29" t="n">
        <f aca="false">INDEX(Sprint_Metrics!$F$7:$F$16,RANDBETWEEN(1,ROWS(Sprint_Metrics!$F$7:$F$16)))</f>
        <v>7</v>
      </c>
      <c r="E201" s="29" t="n">
        <f aca="false">INDEX(Sprint_Metrics!$F$7:$F$16,RANDBETWEEN(1,ROWS(Sprint_Metrics!$F$7:$F$16)))</f>
        <v>9</v>
      </c>
      <c r="F201" s="29" t="n">
        <f aca="false">INDEX(Sprint_Metrics!$F$7:$F$16,RANDBETWEEN(1,ROWS(Sprint_Metrics!$F$7:$F$16)))</f>
        <v>8</v>
      </c>
      <c r="G201" s="29" t="n">
        <f aca="false">INDEX(Sprint_Metrics!$F$7:$F$16,RANDBETWEEN(1,ROWS(Sprint_Metrics!$F$7:$F$16)))</f>
        <v>7</v>
      </c>
      <c r="H201" s="29" t="n">
        <f aca="false">INDEX(Sprint_Metrics!$F$7:$F$16,RANDBETWEEN(1,ROWS(Sprint_Metrics!$F$7:$F$16)))</f>
        <v>9</v>
      </c>
      <c r="I201" s="29" t="n">
        <f aca="false">INDEX(Sprint_Metrics!$F$7:$F$16,RANDBETWEEN(1,ROWS(Sprint_Metrics!$F$7:$F$16)))</f>
        <v>9</v>
      </c>
      <c r="J201" s="29" t="n">
        <f aca="false">B201</f>
        <v>8</v>
      </c>
      <c r="K201" s="29" t="n">
        <f aca="false">J201+C201</f>
        <v>16</v>
      </c>
      <c r="L201" s="29" t="n">
        <f aca="false">K201+D201</f>
        <v>23</v>
      </c>
      <c r="M201" s="29" t="n">
        <f aca="false">L201+E201</f>
        <v>32</v>
      </c>
      <c r="N201" s="29" t="n">
        <f aca="false">M201+F201</f>
        <v>40</v>
      </c>
      <c r="O201" s="29" t="n">
        <f aca="false">N201+G201</f>
        <v>47</v>
      </c>
      <c r="P201" s="29" t="n">
        <f aca="false">O201+H201</f>
        <v>56</v>
      </c>
      <c r="Q201" s="29" t="n">
        <f aca="false">P201+I201</f>
        <v>65</v>
      </c>
    </row>
    <row r="202" customFormat="false" ht="15" hidden="false" customHeight="false" outlineLevel="0" collapsed="false">
      <c r="A202" s="29" t="n">
        <v>201</v>
      </c>
      <c r="B202" s="29" t="n">
        <f aca="false">INDEX(Sprint_Metrics!$F$7:$F$16,RANDBETWEEN(1,ROWS(Sprint_Metrics!$F$7:$F$16)))</f>
        <v>8</v>
      </c>
      <c r="C202" s="29" t="n">
        <f aca="false">INDEX(Sprint_Metrics!$F$7:$F$16,RANDBETWEEN(1,ROWS(Sprint_Metrics!$F$7:$F$16)))</f>
        <v>8</v>
      </c>
      <c r="D202" s="29" t="n">
        <f aca="false">INDEX(Sprint_Metrics!$F$7:$F$16,RANDBETWEEN(1,ROWS(Sprint_Metrics!$F$7:$F$16)))</f>
        <v>9</v>
      </c>
      <c r="E202" s="29" t="n">
        <f aca="false">INDEX(Sprint_Metrics!$F$7:$F$16,RANDBETWEEN(1,ROWS(Sprint_Metrics!$F$7:$F$16)))</f>
        <v>12</v>
      </c>
      <c r="F202" s="29" t="n">
        <f aca="false">INDEX(Sprint_Metrics!$F$7:$F$16,RANDBETWEEN(1,ROWS(Sprint_Metrics!$F$7:$F$16)))</f>
        <v>8</v>
      </c>
      <c r="G202" s="29" t="n">
        <f aca="false">INDEX(Sprint_Metrics!$F$7:$F$16,RANDBETWEEN(1,ROWS(Sprint_Metrics!$F$7:$F$16)))</f>
        <v>8</v>
      </c>
      <c r="H202" s="29" t="n">
        <f aca="false">INDEX(Sprint_Metrics!$F$7:$F$16,RANDBETWEEN(1,ROWS(Sprint_Metrics!$F$7:$F$16)))</f>
        <v>8</v>
      </c>
      <c r="I202" s="29" t="n">
        <f aca="false">INDEX(Sprint_Metrics!$F$7:$F$16,RANDBETWEEN(1,ROWS(Sprint_Metrics!$F$7:$F$16)))</f>
        <v>11</v>
      </c>
      <c r="J202" s="29" t="n">
        <f aca="false">B202</f>
        <v>8</v>
      </c>
      <c r="K202" s="29" t="n">
        <f aca="false">J202+C202</f>
        <v>16</v>
      </c>
      <c r="L202" s="29" t="n">
        <f aca="false">K202+D202</f>
        <v>25</v>
      </c>
      <c r="M202" s="29" t="n">
        <f aca="false">L202+E202</f>
        <v>37</v>
      </c>
      <c r="N202" s="29" t="n">
        <f aca="false">M202+F202</f>
        <v>45</v>
      </c>
      <c r="O202" s="29" t="n">
        <f aca="false">N202+G202</f>
        <v>53</v>
      </c>
      <c r="P202" s="29" t="n">
        <f aca="false">O202+H202</f>
        <v>61</v>
      </c>
      <c r="Q202" s="29" t="n">
        <f aca="false">P202+I202</f>
        <v>72</v>
      </c>
    </row>
    <row r="203" customFormat="false" ht="15" hidden="false" customHeight="false" outlineLevel="0" collapsed="false">
      <c r="A203" s="29" t="n">
        <v>202</v>
      </c>
      <c r="B203" s="29" t="n">
        <f aca="false">INDEX(Sprint_Metrics!$F$7:$F$16,RANDBETWEEN(1,ROWS(Sprint_Metrics!$F$7:$F$16)))</f>
        <v>8</v>
      </c>
      <c r="C203" s="29" t="n">
        <f aca="false">INDEX(Sprint_Metrics!$F$7:$F$16,RANDBETWEEN(1,ROWS(Sprint_Metrics!$F$7:$F$16)))</f>
        <v>8</v>
      </c>
      <c r="D203" s="29" t="n">
        <f aca="false">INDEX(Sprint_Metrics!$F$7:$F$16,RANDBETWEEN(1,ROWS(Sprint_Metrics!$F$7:$F$16)))</f>
        <v>11</v>
      </c>
      <c r="E203" s="29" t="n">
        <f aca="false">INDEX(Sprint_Metrics!$F$7:$F$16,RANDBETWEEN(1,ROWS(Sprint_Metrics!$F$7:$F$16)))</f>
        <v>9</v>
      </c>
      <c r="F203" s="29" t="n">
        <f aca="false">INDEX(Sprint_Metrics!$F$7:$F$16,RANDBETWEEN(1,ROWS(Sprint_Metrics!$F$7:$F$16)))</f>
        <v>9</v>
      </c>
      <c r="G203" s="29" t="n">
        <f aca="false">INDEX(Sprint_Metrics!$F$7:$F$16,RANDBETWEEN(1,ROWS(Sprint_Metrics!$F$7:$F$16)))</f>
        <v>12</v>
      </c>
      <c r="H203" s="29" t="n">
        <f aca="false">INDEX(Sprint_Metrics!$F$7:$F$16,RANDBETWEEN(1,ROWS(Sprint_Metrics!$F$7:$F$16)))</f>
        <v>8</v>
      </c>
      <c r="I203" s="29" t="n">
        <f aca="false">INDEX(Sprint_Metrics!$F$7:$F$16,RANDBETWEEN(1,ROWS(Sprint_Metrics!$F$7:$F$16)))</f>
        <v>9</v>
      </c>
      <c r="J203" s="29" t="n">
        <f aca="false">B203</f>
        <v>8</v>
      </c>
      <c r="K203" s="29" t="n">
        <f aca="false">J203+C203</f>
        <v>16</v>
      </c>
      <c r="L203" s="29" t="n">
        <f aca="false">K203+D203</f>
        <v>27</v>
      </c>
      <c r="M203" s="29" t="n">
        <f aca="false">L203+E203</f>
        <v>36</v>
      </c>
      <c r="N203" s="29" t="n">
        <f aca="false">M203+F203</f>
        <v>45</v>
      </c>
      <c r="O203" s="29" t="n">
        <f aca="false">N203+G203</f>
        <v>57</v>
      </c>
      <c r="P203" s="29" t="n">
        <f aca="false">O203+H203</f>
        <v>65</v>
      </c>
      <c r="Q203" s="29" t="n">
        <f aca="false">P203+I203</f>
        <v>74</v>
      </c>
    </row>
    <row r="204" customFormat="false" ht="15" hidden="false" customHeight="false" outlineLevel="0" collapsed="false">
      <c r="A204" s="29" t="n">
        <v>203</v>
      </c>
      <c r="B204" s="29" t="n">
        <f aca="false">INDEX(Sprint_Metrics!$F$7:$F$16,RANDBETWEEN(1,ROWS(Sprint_Metrics!$F$7:$F$16)))</f>
        <v>9</v>
      </c>
      <c r="C204" s="29" t="n">
        <f aca="false">INDEX(Sprint_Metrics!$F$7:$F$16,RANDBETWEEN(1,ROWS(Sprint_Metrics!$F$7:$F$16)))</f>
        <v>7</v>
      </c>
      <c r="D204" s="29" t="n">
        <f aca="false">INDEX(Sprint_Metrics!$F$7:$F$16,RANDBETWEEN(1,ROWS(Sprint_Metrics!$F$7:$F$16)))</f>
        <v>9</v>
      </c>
      <c r="E204" s="29" t="n">
        <f aca="false">INDEX(Sprint_Metrics!$F$7:$F$16,RANDBETWEEN(1,ROWS(Sprint_Metrics!$F$7:$F$16)))</f>
        <v>9</v>
      </c>
      <c r="F204" s="29" t="n">
        <f aca="false">INDEX(Sprint_Metrics!$F$7:$F$16,RANDBETWEEN(1,ROWS(Sprint_Metrics!$F$7:$F$16)))</f>
        <v>8</v>
      </c>
      <c r="G204" s="29" t="n">
        <f aca="false">INDEX(Sprint_Metrics!$F$7:$F$16,RANDBETWEEN(1,ROWS(Sprint_Metrics!$F$7:$F$16)))</f>
        <v>8</v>
      </c>
      <c r="H204" s="29" t="n">
        <f aca="false">INDEX(Sprint_Metrics!$F$7:$F$16,RANDBETWEEN(1,ROWS(Sprint_Metrics!$F$7:$F$16)))</f>
        <v>9</v>
      </c>
      <c r="I204" s="29" t="n">
        <f aca="false">INDEX(Sprint_Metrics!$F$7:$F$16,RANDBETWEEN(1,ROWS(Sprint_Metrics!$F$7:$F$16)))</f>
        <v>8</v>
      </c>
      <c r="J204" s="29" t="n">
        <f aca="false">B204</f>
        <v>9</v>
      </c>
      <c r="K204" s="29" t="n">
        <f aca="false">J204+C204</f>
        <v>16</v>
      </c>
      <c r="L204" s="29" t="n">
        <f aca="false">K204+D204</f>
        <v>25</v>
      </c>
      <c r="M204" s="29" t="n">
        <f aca="false">L204+E204</f>
        <v>34</v>
      </c>
      <c r="N204" s="29" t="n">
        <f aca="false">M204+F204</f>
        <v>42</v>
      </c>
      <c r="O204" s="29" t="n">
        <f aca="false">N204+G204</f>
        <v>50</v>
      </c>
      <c r="P204" s="29" t="n">
        <f aca="false">O204+H204</f>
        <v>59</v>
      </c>
      <c r="Q204" s="29" t="n">
        <f aca="false">P204+I204</f>
        <v>67</v>
      </c>
    </row>
    <row r="205" customFormat="false" ht="15" hidden="false" customHeight="false" outlineLevel="0" collapsed="false">
      <c r="A205" s="29" t="n">
        <v>204</v>
      </c>
      <c r="B205" s="29" t="n">
        <f aca="false">INDEX(Sprint_Metrics!$F$7:$F$16,RANDBETWEEN(1,ROWS(Sprint_Metrics!$F$7:$F$16)))</f>
        <v>11</v>
      </c>
      <c r="C205" s="29" t="n">
        <f aca="false">INDEX(Sprint_Metrics!$F$7:$F$16,RANDBETWEEN(1,ROWS(Sprint_Metrics!$F$7:$F$16)))</f>
        <v>8</v>
      </c>
      <c r="D205" s="29" t="n">
        <f aca="false">INDEX(Sprint_Metrics!$F$7:$F$16,RANDBETWEEN(1,ROWS(Sprint_Metrics!$F$7:$F$16)))</f>
        <v>11</v>
      </c>
      <c r="E205" s="29" t="n">
        <f aca="false">INDEX(Sprint_Metrics!$F$7:$F$16,RANDBETWEEN(1,ROWS(Sprint_Metrics!$F$7:$F$16)))</f>
        <v>9</v>
      </c>
      <c r="F205" s="29" t="n">
        <f aca="false">INDEX(Sprint_Metrics!$F$7:$F$16,RANDBETWEEN(1,ROWS(Sprint_Metrics!$F$7:$F$16)))</f>
        <v>8</v>
      </c>
      <c r="G205" s="29" t="n">
        <f aca="false">INDEX(Sprint_Metrics!$F$7:$F$16,RANDBETWEEN(1,ROWS(Sprint_Metrics!$F$7:$F$16)))</f>
        <v>8</v>
      </c>
      <c r="H205" s="29" t="n">
        <f aca="false">INDEX(Sprint_Metrics!$F$7:$F$16,RANDBETWEEN(1,ROWS(Sprint_Metrics!$F$7:$F$16)))</f>
        <v>8</v>
      </c>
      <c r="I205" s="29" t="n">
        <f aca="false">INDEX(Sprint_Metrics!$F$7:$F$16,RANDBETWEEN(1,ROWS(Sprint_Metrics!$F$7:$F$16)))</f>
        <v>8</v>
      </c>
      <c r="J205" s="29" t="n">
        <f aca="false">B205</f>
        <v>11</v>
      </c>
      <c r="K205" s="29" t="n">
        <f aca="false">J205+C205</f>
        <v>19</v>
      </c>
      <c r="L205" s="29" t="n">
        <f aca="false">K205+D205</f>
        <v>30</v>
      </c>
      <c r="M205" s="29" t="n">
        <f aca="false">L205+E205</f>
        <v>39</v>
      </c>
      <c r="N205" s="29" t="n">
        <f aca="false">M205+F205</f>
        <v>47</v>
      </c>
      <c r="O205" s="29" t="n">
        <f aca="false">N205+G205</f>
        <v>55</v>
      </c>
      <c r="P205" s="29" t="n">
        <f aca="false">O205+H205</f>
        <v>63</v>
      </c>
      <c r="Q205" s="29" t="n">
        <f aca="false">P205+I205</f>
        <v>71</v>
      </c>
    </row>
    <row r="206" customFormat="false" ht="15" hidden="false" customHeight="false" outlineLevel="0" collapsed="false">
      <c r="A206" s="29" t="n">
        <v>205</v>
      </c>
      <c r="B206" s="29" t="n">
        <f aca="false">INDEX(Sprint_Metrics!$F$7:$F$16,RANDBETWEEN(1,ROWS(Sprint_Metrics!$F$7:$F$16)))</f>
        <v>8</v>
      </c>
      <c r="C206" s="29" t="n">
        <f aca="false">INDEX(Sprint_Metrics!$F$7:$F$16,RANDBETWEEN(1,ROWS(Sprint_Metrics!$F$7:$F$16)))</f>
        <v>7</v>
      </c>
      <c r="D206" s="29" t="n">
        <f aca="false">INDEX(Sprint_Metrics!$F$7:$F$16,RANDBETWEEN(1,ROWS(Sprint_Metrics!$F$7:$F$16)))</f>
        <v>9</v>
      </c>
      <c r="E206" s="29" t="n">
        <f aca="false">INDEX(Sprint_Metrics!$F$7:$F$16,RANDBETWEEN(1,ROWS(Sprint_Metrics!$F$7:$F$16)))</f>
        <v>8</v>
      </c>
      <c r="F206" s="29" t="n">
        <f aca="false">INDEX(Sprint_Metrics!$F$7:$F$16,RANDBETWEEN(1,ROWS(Sprint_Metrics!$F$7:$F$16)))</f>
        <v>8</v>
      </c>
      <c r="G206" s="29" t="n">
        <f aca="false">INDEX(Sprint_Metrics!$F$7:$F$16,RANDBETWEEN(1,ROWS(Sprint_Metrics!$F$7:$F$16)))</f>
        <v>8</v>
      </c>
      <c r="H206" s="29" t="n">
        <f aca="false">INDEX(Sprint_Metrics!$F$7:$F$16,RANDBETWEEN(1,ROWS(Sprint_Metrics!$F$7:$F$16)))</f>
        <v>9</v>
      </c>
      <c r="I206" s="29" t="n">
        <f aca="false">INDEX(Sprint_Metrics!$F$7:$F$16,RANDBETWEEN(1,ROWS(Sprint_Metrics!$F$7:$F$16)))</f>
        <v>8</v>
      </c>
      <c r="J206" s="29" t="n">
        <f aca="false">B206</f>
        <v>8</v>
      </c>
      <c r="K206" s="29" t="n">
        <f aca="false">J206+C206</f>
        <v>15</v>
      </c>
      <c r="L206" s="29" t="n">
        <f aca="false">K206+D206</f>
        <v>24</v>
      </c>
      <c r="M206" s="29" t="n">
        <f aca="false">L206+E206</f>
        <v>32</v>
      </c>
      <c r="N206" s="29" t="n">
        <f aca="false">M206+F206</f>
        <v>40</v>
      </c>
      <c r="O206" s="29" t="n">
        <f aca="false">N206+G206</f>
        <v>48</v>
      </c>
      <c r="P206" s="29" t="n">
        <f aca="false">O206+H206</f>
        <v>57</v>
      </c>
      <c r="Q206" s="29" t="n">
        <f aca="false">P206+I206</f>
        <v>65</v>
      </c>
    </row>
    <row r="207" customFormat="false" ht="15" hidden="false" customHeight="false" outlineLevel="0" collapsed="false">
      <c r="A207" s="29" t="n">
        <v>206</v>
      </c>
      <c r="B207" s="29" t="n">
        <f aca="false">INDEX(Sprint_Metrics!$F$7:$F$16,RANDBETWEEN(1,ROWS(Sprint_Metrics!$F$7:$F$16)))</f>
        <v>8</v>
      </c>
      <c r="C207" s="29" t="n">
        <f aca="false">INDEX(Sprint_Metrics!$F$7:$F$16,RANDBETWEEN(1,ROWS(Sprint_Metrics!$F$7:$F$16)))</f>
        <v>7</v>
      </c>
      <c r="D207" s="29" t="n">
        <f aca="false">INDEX(Sprint_Metrics!$F$7:$F$16,RANDBETWEEN(1,ROWS(Sprint_Metrics!$F$7:$F$16)))</f>
        <v>9</v>
      </c>
      <c r="E207" s="29" t="n">
        <f aca="false">INDEX(Sprint_Metrics!$F$7:$F$16,RANDBETWEEN(1,ROWS(Sprint_Metrics!$F$7:$F$16)))</f>
        <v>11</v>
      </c>
      <c r="F207" s="29" t="n">
        <f aca="false">INDEX(Sprint_Metrics!$F$7:$F$16,RANDBETWEEN(1,ROWS(Sprint_Metrics!$F$7:$F$16)))</f>
        <v>8</v>
      </c>
      <c r="G207" s="29" t="n">
        <f aca="false">INDEX(Sprint_Metrics!$F$7:$F$16,RANDBETWEEN(1,ROWS(Sprint_Metrics!$F$7:$F$16)))</f>
        <v>8</v>
      </c>
      <c r="H207" s="29" t="n">
        <f aca="false">INDEX(Sprint_Metrics!$F$7:$F$16,RANDBETWEEN(1,ROWS(Sprint_Metrics!$F$7:$F$16)))</f>
        <v>8</v>
      </c>
      <c r="I207" s="29" t="n">
        <f aca="false">INDEX(Sprint_Metrics!$F$7:$F$16,RANDBETWEEN(1,ROWS(Sprint_Metrics!$F$7:$F$16)))</f>
        <v>8</v>
      </c>
      <c r="J207" s="29" t="n">
        <f aca="false">B207</f>
        <v>8</v>
      </c>
      <c r="K207" s="29" t="n">
        <f aca="false">J207+C207</f>
        <v>15</v>
      </c>
      <c r="L207" s="29" t="n">
        <f aca="false">K207+D207</f>
        <v>24</v>
      </c>
      <c r="M207" s="29" t="n">
        <f aca="false">L207+E207</f>
        <v>35</v>
      </c>
      <c r="N207" s="29" t="n">
        <f aca="false">M207+F207</f>
        <v>43</v>
      </c>
      <c r="O207" s="29" t="n">
        <f aca="false">N207+G207</f>
        <v>51</v>
      </c>
      <c r="P207" s="29" t="n">
        <f aca="false">O207+H207</f>
        <v>59</v>
      </c>
      <c r="Q207" s="29" t="n">
        <f aca="false">P207+I207</f>
        <v>67</v>
      </c>
    </row>
    <row r="208" customFormat="false" ht="15" hidden="false" customHeight="false" outlineLevel="0" collapsed="false">
      <c r="A208" s="29" t="n">
        <v>207</v>
      </c>
      <c r="B208" s="29" t="n">
        <f aca="false">INDEX(Sprint_Metrics!$F$7:$F$16,RANDBETWEEN(1,ROWS(Sprint_Metrics!$F$7:$F$16)))</f>
        <v>12</v>
      </c>
      <c r="C208" s="29" t="n">
        <f aca="false">INDEX(Sprint_Metrics!$F$7:$F$16,RANDBETWEEN(1,ROWS(Sprint_Metrics!$F$7:$F$16)))</f>
        <v>7</v>
      </c>
      <c r="D208" s="29" t="n">
        <f aca="false">INDEX(Sprint_Metrics!$F$7:$F$16,RANDBETWEEN(1,ROWS(Sprint_Metrics!$F$7:$F$16)))</f>
        <v>12</v>
      </c>
      <c r="E208" s="29" t="n">
        <f aca="false">INDEX(Sprint_Metrics!$F$7:$F$16,RANDBETWEEN(1,ROWS(Sprint_Metrics!$F$7:$F$16)))</f>
        <v>7</v>
      </c>
      <c r="F208" s="29" t="n">
        <f aca="false">INDEX(Sprint_Metrics!$F$7:$F$16,RANDBETWEEN(1,ROWS(Sprint_Metrics!$F$7:$F$16)))</f>
        <v>8</v>
      </c>
      <c r="G208" s="29" t="n">
        <f aca="false">INDEX(Sprint_Metrics!$F$7:$F$16,RANDBETWEEN(1,ROWS(Sprint_Metrics!$F$7:$F$16)))</f>
        <v>9</v>
      </c>
      <c r="H208" s="29" t="n">
        <f aca="false">INDEX(Sprint_Metrics!$F$7:$F$16,RANDBETWEEN(1,ROWS(Sprint_Metrics!$F$7:$F$16)))</f>
        <v>11</v>
      </c>
      <c r="I208" s="29" t="n">
        <f aca="false">INDEX(Sprint_Metrics!$F$7:$F$16,RANDBETWEEN(1,ROWS(Sprint_Metrics!$F$7:$F$16)))</f>
        <v>7</v>
      </c>
      <c r="J208" s="29" t="n">
        <f aca="false">B208</f>
        <v>12</v>
      </c>
      <c r="K208" s="29" t="n">
        <f aca="false">J208+C208</f>
        <v>19</v>
      </c>
      <c r="L208" s="29" t="n">
        <f aca="false">K208+D208</f>
        <v>31</v>
      </c>
      <c r="M208" s="29" t="n">
        <f aca="false">L208+E208</f>
        <v>38</v>
      </c>
      <c r="N208" s="29" t="n">
        <f aca="false">M208+F208</f>
        <v>46</v>
      </c>
      <c r="O208" s="29" t="n">
        <f aca="false">N208+G208</f>
        <v>55</v>
      </c>
      <c r="P208" s="29" t="n">
        <f aca="false">O208+H208</f>
        <v>66</v>
      </c>
      <c r="Q208" s="29" t="n">
        <f aca="false">P208+I208</f>
        <v>73</v>
      </c>
    </row>
    <row r="209" customFormat="false" ht="15" hidden="false" customHeight="false" outlineLevel="0" collapsed="false">
      <c r="A209" s="29" t="n">
        <v>208</v>
      </c>
      <c r="B209" s="29" t="n">
        <f aca="false">INDEX(Sprint_Metrics!$F$7:$F$16,RANDBETWEEN(1,ROWS(Sprint_Metrics!$F$7:$F$16)))</f>
        <v>9</v>
      </c>
      <c r="C209" s="29" t="n">
        <f aca="false">INDEX(Sprint_Metrics!$F$7:$F$16,RANDBETWEEN(1,ROWS(Sprint_Metrics!$F$7:$F$16)))</f>
        <v>7</v>
      </c>
      <c r="D209" s="29" t="n">
        <f aca="false">INDEX(Sprint_Metrics!$F$7:$F$16,RANDBETWEEN(1,ROWS(Sprint_Metrics!$F$7:$F$16)))</f>
        <v>8</v>
      </c>
      <c r="E209" s="29" t="n">
        <f aca="false">INDEX(Sprint_Metrics!$F$7:$F$16,RANDBETWEEN(1,ROWS(Sprint_Metrics!$F$7:$F$16)))</f>
        <v>12</v>
      </c>
      <c r="F209" s="29" t="n">
        <f aca="false">INDEX(Sprint_Metrics!$F$7:$F$16,RANDBETWEEN(1,ROWS(Sprint_Metrics!$F$7:$F$16)))</f>
        <v>7</v>
      </c>
      <c r="G209" s="29" t="n">
        <f aca="false">INDEX(Sprint_Metrics!$F$7:$F$16,RANDBETWEEN(1,ROWS(Sprint_Metrics!$F$7:$F$16)))</f>
        <v>11</v>
      </c>
      <c r="H209" s="29" t="n">
        <f aca="false">INDEX(Sprint_Metrics!$F$7:$F$16,RANDBETWEEN(1,ROWS(Sprint_Metrics!$F$7:$F$16)))</f>
        <v>8</v>
      </c>
      <c r="I209" s="29" t="n">
        <f aca="false">INDEX(Sprint_Metrics!$F$7:$F$16,RANDBETWEEN(1,ROWS(Sprint_Metrics!$F$7:$F$16)))</f>
        <v>8</v>
      </c>
      <c r="J209" s="29" t="n">
        <f aca="false">B209</f>
        <v>9</v>
      </c>
      <c r="K209" s="29" t="n">
        <f aca="false">J209+C209</f>
        <v>16</v>
      </c>
      <c r="L209" s="29" t="n">
        <f aca="false">K209+D209</f>
        <v>24</v>
      </c>
      <c r="M209" s="29" t="n">
        <f aca="false">L209+E209</f>
        <v>36</v>
      </c>
      <c r="N209" s="29" t="n">
        <f aca="false">M209+F209</f>
        <v>43</v>
      </c>
      <c r="O209" s="29" t="n">
        <f aca="false">N209+G209</f>
        <v>54</v>
      </c>
      <c r="P209" s="29" t="n">
        <f aca="false">O209+H209</f>
        <v>62</v>
      </c>
      <c r="Q209" s="29" t="n">
        <f aca="false">P209+I209</f>
        <v>70</v>
      </c>
    </row>
    <row r="210" customFormat="false" ht="15" hidden="false" customHeight="false" outlineLevel="0" collapsed="false">
      <c r="A210" s="29" t="n">
        <v>209</v>
      </c>
      <c r="B210" s="29" t="n">
        <f aca="false">INDEX(Sprint_Metrics!$F$7:$F$16,RANDBETWEEN(1,ROWS(Sprint_Metrics!$F$7:$F$16)))</f>
        <v>8</v>
      </c>
      <c r="C210" s="29" t="n">
        <f aca="false">INDEX(Sprint_Metrics!$F$7:$F$16,RANDBETWEEN(1,ROWS(Sprint_Metrics!$F$7:$F$16)))</f>
        <v>9</v>
      </c>
      <c r="D210" s="29" t="n">
        <f aca="false">INDEX(Sprint_Metrics!$F$7:$F$16,RANDBETWEEN(1,ROWS(Sprint_Metrics!$F$7:$F$16)))</f>
        <v>11</v>
      </c>
      <c r="E210" s="29" t="n">
        <f aca="false">INDEX(Sprint_Metrics!$F$7:$F$16,RANDBETWEEN(1,ROWS(Sprint_Metrics!$F$7:$F$16)))</f>
        <v>7</v>
      </c>
      <c r="F210" s="29" t="n">
        <f aca="false">INDEX(Sprint_Metrics!$F$7:$F$16,RANDBETWEEN(1,ROWS(Sprint_Metrics!$F$7:$F$16)))</f>
        <v>7</v>
      </c>
      <c r="G210" s="29" t="n">
        <f aca="false">INDEX(Sprint_Metrics!$F$7:$F$16,RANDBETWEEN(1,ROWS(Sprint_Metrics!$F$7:$F$16)))</f>
        <v>11</v>
      </c>
      <c r="H210" s="29" t="n">
        <f aca="false">INDEX(Sprint_Metrics!$F$7:$F$16,RANDBETWEEN(1,ROWS(Sprint_Metrics!$F$7:$F$16)))</f>
        <v>8</v>
      </c>
      <c r="I210" s="29" t="n">
        <f aca="false">INDEX(Sprint_Metrics!$F$7:$F$16,RANDBETWEEN(1,ROWS(Sprint_Metrics!$F$7:$F$16)))</f>
        <v>7</v>
      </c>
      <c r="J210" s="29" t="n">
        <f aca="false">B210</f>
        <v>8</v>
      </c>
      <c r="K210" s="29" t="n">
        <f aca="false">J210+C210</f>
        <v>17</v>
      </c>
      <c r="L210" s="29" t="n">
        <f aca="false">K210+D210</f>
        <v>28</v>
      </c>
      <c r="M210" s="29" t="n">
        <f aca="false">L210+E210</f>
        <v>35</v>
      </c>
      <c r="N210" s="29" t="n">
        <f aca="false">M210+F210</f>
        <v>42</v>
      </c>
      <c r="O210" s="29" t="n">
        <f aca="false">N210+G210</f>
        <v>53</v>
      </c>
      <c r="P210" s="29" t="n">
        <f aca="false">O210+H210</f>
        <v>61</v>
      </c>
      <c r="Q210" s="29" t="n">
        <f aca="false">P210+I210</f>
        <v>68</v>
      </c>
    </row>
    <row r="211" customFormat="false" ht="15" hidden="false" customHeight="false" outlineLevel="0" collapsed="false">
      <c r="A211" s="29" t="n">
        <v>210</v>
      </c>
      <c r="B211" s="29" t="n">
        <f aca="false">INDEX(Sprint_Metrics!$F$7:$F$16,RANDBETWEEN(1,ROWS(Sprint_Metrics!$F$7:$F$16)))</f>
        <v>11</v>
      </c>
      <c r="C211" s="29" t="n">
        <f aca="false">INDEX(Sprint_Metrics!$F$7:$F$16,RANDBETWEEN(1,ROWS(Sprint_Metrics!$F$7:$F$16)))</f>
        <v>7</v>
      </c>
      <c r="D211" s="29" t="n">
        <f aca="false">INDEX(Sprint_Metrics!$F$7:$F$16,RANDBETWEEN(1,ROWS(Sprint_Metrics!$F$7:$F$16)))</f>
        <v>12</v>
      </c>
      <c r="E211" s="29" t="n">
        <f aca="false">INDEX(Sprint_Metrics!$F$7:$F$16,RANDBETWEEN(1,ROWS(Sprint_Metrics!$F$7:$F$16)))</f>
        <v>11</v>
      </c>
      <c r="F211" s="29" t="n">
        <f aca="false">INDEX(Sprint_Metrics!$F$7:$F$16,RANDBETWEEN(1,ROWS(Sprint_Metrics!$F$7:$F$16)))</f>
        <v>9</v>
      </c>
      <c r="G211" s="29" t="n">
        <f aca="false">INDEX(Sprint_Metrics!$F$7:$F$16,RANDBETWEEN(1,ROWS(Sprint_Metrics!$F$7:$F$16)))</f>
        <v>9</v>
      </c>
      <c r="H211" s="29" t="n">
        <f aca="false">INDEX(Sprint_Metrics!$F$7:$F$16,RANDBETWEEN(1,ROWS(Sprint_Metrics!$F$7:$F$16)))</f>
        <v>9</v>
      </c>
      <c r="I211" s="29" t="n">
        <f aca="false">INDEX(Sprint_Metrics!$F$7:$F$16,RANDBETWEEN(1,ROWS(Sprint_Metrics!$F$7:$F$16)))</f>
        <v>11</v>
      </c>
      <c r="J211" s="29" t="n">
        <f aca="false">B211</f>
        <v>11</v>
      </c>
      <c r="K211" s="29" t="n">
        <f aca="false">J211+C211</f>
        <v>18</v>
      </c>
      <c r="L211" s="29" t="n">
        <f aca="false">K211+D211</f>
        <v>30</v>
      </c>
      <c r="M211" s="29" t="n">
        <f aca="false">L211+E211</f>
        <v>41</v>
      </c>
      <c r="N211" s="29" t="n">
        <f aca="false">M211+F211</f>
        <v>50</v>
      </c>
      <c r="O211" s="29" t="n">
        <f aca="false">N211+G211</f>
        <v>59</v>
      </c>
      <c r="P211" s="29" t="n">
        <f aca="false">O211+H211</f>
        <v>68</v>
      </c>
      <c r="Q211" s="29" t="n">
        <f aca="false">P211+I211</f>
        <v>79</v>
      </c>
    </row>
    <row r="212" customFormat="false" ht="15" hidden="false" customHeight="false" outlineLevel="0" collapsed="false">
      <c r="A212" s="29" t="n">
        <v>211</v>
      </c>
      <c r="B212" s="29" t="n">
        <f aca="false">INDEX(Sprint_Metrics!$F$7:$F$16,RANDBETWEEN(1,ROWS(Sprint_Metrics!$F$7:$F$16)))</f>
        <v>11</v>
      </c>
      <c r="C212" s="29" t="n">
        <f aca="false">INDEX(Sprint_Metrics!$F$7:$F$16,RANDBETWEEN(1,ROWS(Sprint_Metrics!$F$7:$F$16)))</f>
        <v>8</v>
      </c>
      <c r="D212" s="29" t="n">
        <f aca="false">INDEX(Sprint_Metrics!$F$7:$F$16,RANDBETWEEN(1,ROWS(Sprint_Metrics!$F$7:$F$16)))</f>
        <v>7</v>
      </c>
      <c r="E212" s="29" t="n">
        <f aca="false">INDEX(Sprint_Metrics!$F$7:$F$16,RANDBETWEEN(1,ROWS(Sprint_Metrics!$F$7:$F$16)))</f>
        <v>9</v>
      </c>
      <c r="F212" s="29" t="n">
        <f aca="false">INDEX(Sprint_Metrics!$F$7:$F$16,RANDBETWEEN(1,ROWS(Sprint_Metrics!$F$7:$F$16)))</f>
        <v>11</v>
      </c>
      <c r="G212" s="29" t="n">
        <f aca="false">INDEX(Sprint_Metrics!$F$7:$F$16,RANDBETWEEN(1,ROWS(Sprint_Metrics!$F$7:$F$16)))</f>
        <v>11</v>
      </c>
      <c r="H212" s="29" t="n">
        <f aca="false">INDEX(Sprint_Metrics!$F$7:$F$16,RANDBETWEEN(1,ROWS(Sprint_Metrics!$F$7:$F$16)))</f>
        <v>8</v>
      </c>
      <c r="I212" s="29" t="n">
        <f aca="false">INDEX(Sprint_Metrics!$F$7:$F$16,RANDBETWEEN(1,ROWS(Sprint_Metrics!$F$7:$F$16)))</f>
        <v>7</v>
      </c>
      <c r="J212" s="29" t="n">
        <f aca="false">B212</f>
        <v>11</v>
      </c>
      <c r="K212" s="29" t="n">
        <f aca="false">J212+C212</f>
        <v>19</v>
      </c>
      <c r="L212" s="29" t="n">
        <f aca="false">K212+D212</f>
        <v>26</v>
      </c>
      <c r="M212" s="29" t="n">
        <f aca="false">L212+E212</f>
        <v>35</v>
      </c>
      <c r="N212" s="29" t="n">
        <f aca="false">M212+F212</f>
        <v>46</v>
      </c>
      <c r="O212" s="29" t="n">
        <f aca="false">N212+G212</f>
        <v>57</v>
      </c>
      <c r="P212" s="29" t="n">
        <f aca="false">O212+H212</f>
        <v>65</v>
      </c>
      <c r="Q212" s="29" t="n">
        <f aca="false">P212+I212</f>
        <v>72</v>
      </c>
    </row>
    <row r="213" customFormat="false" ht="15" hidden="false" customHeight="false" outlineLevel="0" collapsed="false">
      <c r="A213" s="29" t="n">
        <v>212</v>
      </c>
      <c r="B213" s="29" t="n">
        <f aca="false">INDEX(Sprint_Metrics!$F$7:$F$16,RANDBETWEEN(1,ROWS(Sprint_Metrics!$F$7:$F$16)))</f>
        <v>8</v>
      </c>
      <c r="C213" s="29" t="n">
        <f aca="false">INDEX(Sprint_Metrics!$F$7:$F$16,RANDBETWEEN(1,ROWS(Sprint_Metrics!$F$7:$F$16)))</f>
        <v>12</v>
      </c>
      <c r="D213" s="29" t="n">
        <f aca="false">INDEX(Sprint_Metrics!$F$7:$F$16,RANDBETWEEN(1,ROWS(Sprint_Metrics!$F$7:$F$16)))</f>
        <v>9</v>
      </c>
      <c r="E213" s="29" t="n">
        <f aca="false">INDEX(Sprint_Metrics!$F$7:$F$16,RANDBETWEEN(1,ROWS(Sprint_Metrics!$F$7:$F$16)))</f>
        <v>8</v>
      </c>
      <c r="F213" s="29" t="n">
        <f aca="false">INDEX(Sprint_Metrics!$F$7:$F$16,RANDBETWEEN(1,ROWS(Sprint_Metrics!$F$7:$F$16)))</f>
        <v>9</v>
      </c>
      <c r="G213" s="29" t="n">
        <f aca="false">INDEX(Sprint_Metrics!$F$7:$F$16,RANDBETWEEN(1,ROWS(Sprint_Metrics!$F$7:$F$16)))</f>
        <v>9</v>
      </c>
      <c r="H213" s="29" t="n">
        <f aca="false">INDEX(Sprint_Metrics!$F$7:$F$16,RANDBETWEEN(1,ROWS(Sprint_Metrics!$F$7:$F$16)))</f>
        <v>11</v>
      </c>
      <c r="I213" s="29" t="n">
        <f aca="false">INDEX(Sprint_Metrics!$F$7:$F$16,RANDBETWEEN(1,ROWS(Sprint_Metrics!$F$7:$F$16)))</f>
        <v>11</v>
      </c>
      <c r="J213" s="29" t="n">
        <f aca="false">B213</f>
        <v>8</v>
      </c>
      <c r="K213" s="29" t="n">
        <f aca="false">J213+C213</f>
        <v>20</v>
      </c>
      <c r="L213" s="29" t="n">
        <f aca="false">K213+D213</f>
        <v>29</v>
      </c>
      <c r="M213" s="29" t="n">
        <f aca="false">L213+E213</f>
        <v>37</v>
      </c>
      <c r="N213" s="29" t="n">
        <f aca="false">M213+F213</f>
        <v>46</v>
      </c>
      <c r="O213" s="29" t="n">
        <f aca="false">N213+G213</f>
        <v>55</v>
      </c>
      <c r="P213" s="29" t="n">
        <f aca="false">O213+H213</f>
        <v>66</v>
      </c>
      <c r="Q213" s="29" t="n">
        <f aca="false">P213+I213</f>
        <v>77</v>
      </c>
    </row>
    <row r="214" customFormat="false" ht="15" hidden="false" customHeight="false" outlineLevel="0" collapsed="false">
      <c r="A214" s="29" t="n">
        <v>213</v>
      </c>
      <c r="B214" s="29" t="n">
        <f aca="false">INDEX(Sprint_Metrics!$F$7:$F$16,RANDBETWEEN(1,ROWS(Sprint_Metrics!$F$7:$F$16)))</f>
        <v>12</v>
      </c>
      <c r="C214" s="29" t="n">
        <f aca="false">INDEX(Sprint_Metrics!$F$7:$F$16,RANDBETWEEN(1,ROWS(Sprint_Metrics!$F$7:$F$16)))</f>
        <v>12</v>
      </c>
      <c r="D214" s="29" t="n">
        <f aca="false">INDEX(Sprint_Metrics!$F$7:$F$16,RANDBETWEEN(1,ROWS(Sprint_Metrics!$F$7:$F$16)))</f>
        <v>9</v>
      </c>
      <c r="E214" s="29" t="n">
        <f aca="false">INDEX(Sprint_Metrics!$F$7:$F$16,RANDBETWEEN(1,ROWS(Sprint_Metrics!$F$7:$F$16)))</f>
        <v>9</v>
      </c>
      <c r="F214" s="29" t="n">
        <f aca="false">INDEX(Sprint_Metrics!$F$7:$F$16,RANDBETWEEN(1,ROWS(Sprint_Metrics!$F$7:$F$16)))</f>
        <v>8</v>
      </c>
      <c r="G214" s="29" t="n">
        <f aca="false">INDEX(Sprint_Metrics!$F$7:$F$16,RANDBETWEEN(1,ROWS(Sprint_Metrics!$F$7:$F$16)))</f>
        <v>11</v>
      </c>
      <c r="H214" s="29" t="n">
        <f aca="false">INDEX(Sprint_Metrics!$F$7:$F$16,RANDBETWEEN(1,ROWS(Sprint_Metrics!$F$7:$F$16)))</f>
        <v>8</v>
      </c>
      <c r="I214" s="29" t="n">
        <f aca="false">INDEX(Sprint_Metrics!$F$7:$F$16,RANDBETWEEN(1,ROWS(Sprint_Metrics!$F$7:$F$16)))</f>
        <v>11</v>
      </c>
      <c r="J214" s="29" t="n">
        <f aca="false">B214</f>
        <v>12</v>
      </c>
      <c r="K214" s="29" t="n">
        <f aca="false">J214+C214</f>
        <v>24</v>
      </c>
      <c r="L214" s="29" t="n">
        <f aca="false">K214+D214</f>
        <v>33</v>
      </c>
      <c r="M214" s="29" t="n">
        <f aca="false">L214+E214</f>
        <v>42</v>
      </c>
      <c r="N214" s="29" t="n">
        <f aca="false">M214+F214</f>
        <v>50</v>
      </c>
      <c r="O214" s="29" t="n">
        <f aca="false">N214+G214</f>
        <v>61</v>
      </c>
      <c r="P214" s="29" t="n">
        <f aca="false">O214+H214</f>
        <v>69</v>
      </c>
      <c r="Q214" s="29" t="n">
        <f aca="false">P214+I214</f>
        <v>80</v>
      </c>
    </row>
    <row r="215" customFormat="false" ht="15" hidden="false" customHeight="false" outlineLevel="0" collapsed="false">
      <c r="A215" s="29" t="n">
        <v>214</v>
      </c>
      <c r="B215" s="29" t="n">
        <f aca="false">INDEX(Sprint_Metrics!$F$7:$F$16,RANDBETWEEN(1,ROWS(Sprint_Metrics!$F$7:$F$16)))</f>
        <v>12</v>
      </c>
      <c r="C215" s="29" t="n">
        <f aca="false">INDEX(Sprint_Metrics!$F$7:$F$16,RANDBETWEEN(1,ROWS(Sprint_Metrics!$F$7:$F$16)))</f>
        <v>9</v>
      </c>
      <c r="D215" s="29" t="n">
        <f aca="false">INDEX(Sprint_Metrics!$F$7:$F$16,RANDBETWEEN(1,ROWS(Sprint_Metrics!$F$7:$F$16)))</f>
        <v>12</v>
      </c>
      <c r="E215" s="29" t="n">
        <f aca="false">INDEX(Sprint_Metrics!$F$7:$F$16,RANDBETWEEN(1,ROWS(Sprint_Metrics!$F$7:$F$16)))</f>
        <v>7</v>
      </c>
      <c r="F215" s="29" t="n">
        <f aca="false">INDEX(Sprint_Metrics!$F$7:$F$16,RANDBETWEEN(1,ROWS(Sprint_Metrics!$F$7:$F$16)))</f>
        <v>8</v>
      </c>
      <c r="G215" s="29" t="n">
        <f aca="false">INDEX(Sprint_Metrics!$F$7:$F$16,RANDBETWEEN(1,ROWS(Sprint_Metrics!$F$7:$F$16)))</f>
        <v>9</v>
      </c>
      <c r="H215" s="29" t="n">
        <f aca="false">INDEX(Sprint_Metrics!$F$7:$F$16,RANDBETWEEN(1,ROWS(Sprint_Metrics!$F$7:$F$16)))</f>
        <v>9</v>
      </c>
      <c r="I215" s="29" t="n">
        <f aca="false">INDEX(Sprint_Metrics!$F$7:$F$16,RANDBETWEEN(1,ROWS(Sprint_Metrics!$F$7:$F$16)))</f>
        <v>12</v>
      </c>
      <c r="J215" s="29" t="n">
        <f aca="false">B215</f>
        <v>12</v>
      </c>
      <c r="K215" s="29" t="n">
        <f aca="false">J215+C215</f>
        <v>21</v>
      </c>
      <c r="L215" s="29" t="n">
        <f aca="false">K215+D215</f>
        <v>33</v>
      </c>
      <c r="M215" s="29" t="n">
        <f aca="false">L215+E215</f>
        <v>40</v>
      </c>
      <c r="N215" s="29" t="n">
        <f aca="false">M215+F215</f>
        <v>48</v>
      </c>
      <c r="O215" s="29" t="n">
        <f aca="false">N215+G215</f>
        <v>57</v>
      </c>
      <c r="P215" s="29" t="n">
        <f aca="false">O215+H215</f>
        <v>66</v>
      </c>
      <c r="Q215" s="29" t="n">
        <f aca="false">P215+I215</f>
        <v>78</v>
      </c>
    </row>
    <row r="216" customFormat="false" ht="15" hidden="false" customHeight="false" outlineLevel="0" collapsed="false">
      <c r="A216" s="29" t="n">
        <v>215</v>
      </c>
      <c r="B216" s="29" t="n">
        <f aca="false">INDEX(Sprint_Metrics!$F$7:$F$16,RANDBETWEEN(1,ROWS(Sprint_Metrics!$F$7:$F$16)))</f>
        <v>7</v>
      </c>
      <c r="C216" s="29" t="n">
        <f aca="false">INDEX(Sprint_Metrics!$F$7:$F$16,RANDBETWEEN(1,ROWS(Sprint_Metrics!$F$7:$F$16)))</f>
        <v>8</v>
      </c>
      <c r="D216" s="29" t="n">
        <f aca="false">INDEX(Sprint_Metrics!$F$7:$F$16,RANDBETWEEN(1,ROWS(Sprint_Metrics!$F$7:$F$16)))</f>
        <v>8</v>
      </c>
      <c r="E216" s="29" t="n">
        <f aca="false">INDEX(Sprint_Metrics!$F$7:$F$16,RANDBETWEEN(1,ROWS(Sprint_Metrics!$F$7:$F$16)))</f>
        <v>8</v>
      </c>
      <c r="F216" s="29" t="n">
        <f aca="false">INDEX(Sprint_Metrics!$F$7:$F$16,RANDBETWEEN(1,ROWS(Sprint_Metrics!$F$7:$F$16)))</f>
        <v>8</v>
      </c>
      <c r="G216" s="29" t="n">
        <f aca="false">INDEX(Sprint_Metrics!$F$7:$F$16,RANDBETWEEN(1,ROWS(Sprint_Metrics!$F$7:$F$16)))</f>
        <v>11</v>
      </c>
      <c r="H216" s="29" t="n">
        <f aca="false">INDEX(Sprint_Metrics!$F$7:$F$16,RANDBETWEEN(1,ROWS(Sprint_Metrics!$F$7:$F$16)))</f>
        <v>8</v>
      </c>
      <c r="I216" s="29" t="n">
        <f aca="false">INDEX(Sprint_Metrics!$F$7:$F$16,RANDBETWEEN(1,ROWS(Sprint_Metrics!$F$7:$F$16)))</f>
        <v>7</v>
      </c>
      <c r="J216" s="29" t="n">
        <f aca="false">B216</f>
        <v>7</v>
      </c>
      <c r="K216" s="29" t="n">
        <f aca="false">J216+C216</f>
        <v>15</v>
      </c>
      <c r="L216" s="29" t="n">
        <f aca="false">K216+D216</f>
        <v>23</v>
      </c>
      <c r="M216" s="29" t="n">
        <f aca="false">L216+E216</f>
        <v>31</v>
      </c>
      <c r="N216" s="29" t="n">
        <f aca="false">M216+F216</f>
        <v>39</v>
      </c>
      <c r="O216" s="29" t="n">
        <f aca="false">N216+G216</f>
        <v>50</v>
      </c>
      <c r="P216" s="29" t="n">
        <f aca="false">O216+H216</f>
        <v>58</v>
      </c>
      <c r="Q216" s="29" t="n">
        <f aca="false">P216+I216</f>
        <v>65</v>
      </c>
    </row>
    <row r="217" customFormat="false" ht="15" hidden="false" customHeight="false" outlineLevel="0" collapsed="false">
      <c r="A217" s="29" t="n">
        <v>216</v>
      </c>
      <c r="B217" s="29" t="n">
        <f aca="false">INDEX(Sprint_Metrics!$F$7:$F$16,RANDBETWEEN(1,ROWS(Sprint_Metrics!$F$7:$F$16)))</f>
        <v>9</v>
      </c>
      <c r="C217" s="29" t="n">
        <f aca="false">INDEX(Sprint_Metrics!$F$7:$F$16,RANDBETWEEN(1,ROWS(Sprint_Metrics!$F$7:$F$16)))</f>
        <v>11</v>
      </c>
      <c r="D217" s="29" t="n">
        <f aca="false">INDEX(Sprint_Metrics!$F$7:$F$16,RANDBETWEEN(1,ROWS(Sprint_Metrics!$F$7:$F$16)))</f>
        <v>8</v>
      </c>
      <c r="E217" s="29" t="n">
        <f aca="false">INDEX(Sprint_Metrics!$F$7:$F$16,RANDBETWEEN(1,ROWS(Sprint_Metrics!$F$7:$F$16)))</f>
        <v>8</v>
      </c>
      <c r="F217" s="29" t="n">
        <f aca="false">INDEX(Sprint_Metrics!$F$7:$F$16,RANDBETWEEN(1,ROWS(Sprint_Metrics!$F$7:$F$16)))</f>
        <v>9</v>
      </c>
      <c r="G217" s="29" t="n">
        <f aca="false">INDEX(Sprint_Metrics!$F$7:$F$16,RANDBETWEEN(1,ROWS(Sprint_Metrics!$F$7:$F$16)))</f>
        <v>7</v>
      </c>
      <c r="H217" s="29" t="n">
        <f aca="false">INDEX(Sprint_Metrics!$F$7:$F$16,RANDBETWEEN(1,ROWS(Sprint_Metrics!$F$7:$F$16)))</f>
        <v>7</v>
      </c>
      <c r="I217" s="29" t="n">
        <f aca="false">INDEX(Sprint_Metrics!$F$7:$F$16,RANDBETWEEN(1,ROWS(Sprint_Metrics!$F$7:$F$16)))</f>
        <v>9</v>
      </c>
      <c r="J217" s="29" t="n">
        <f aca="false">B217</f>
        <v>9</v>
      </c>
      <c r="K217" s="29" t="n">
        <f aca="false">J217+C217</f>
        <v>20</v>
      </c>
      <c r="L217" s="29" t="n">
        <f aca="false">K217+D217</f>
        <v>28</v>
      </c>
      <c r="M217" s="29" t="n">
        <f aca="false">L217+E217</f>
        <v>36</v>
      </c>
      <c r="N217" s="29" t="n">
        <f aca="false">M217+F217</f>
        <v>45</v>
      </c>
      <c r="O217" s="29" t="n">
        <f aca="false">N217+G217</f>
        <v>52</v>
      </c>
      <c r="P217" s="29" t="n">
        <f aca="false">O217+H217</f>
        <v>59</v>
      </c>
      <c r="Q217" s="29" t="n">
        <f aca="false">P217+I217</f>
        <v>68</v>
      </c>
    </row>
    <row r="218" customFormat="false" ht="15" hidden="false" customHeight="false" outlineLevel="0" collapsed="false">
      <c r="A218" s="29" t="n">
        <v>217</v>
      </c>
      <c r="B218" s="29" t="n">
        <f aca="false">INDEX(Sprint_Metrics!$F$7:$F$16,RANDBETWEEN(1,ROWS(Sprint_Metrics!$F$7:$F$16)))</f>
        <v>12</v>
      </c>
      <c r="C218" s="29" t="n">
        <f aca="false">INDEX(Sprint_Metrics!$F$7:$F$16,RANDBETWEEN(1,ROWS(Sprint_Metrics!$F$7:$F$16)))</f>
        <v>8</v>
      </c>
      <c r="D218" s="29" t="n">
        <f aca="false">INDEX(Sprint_Metrics!$F$7:$F$16,RANDBETWEEN(1,ROWS(Sprint_Metrics!$F$7:$F$16)))</f>
        <v>7</v>
      </c>
      <c r="E218" s="29" t="n">
        <f aca="false">INDEX(Sprint_Metrics!$F$7:$F$16,RANDBETWEEN(1,ROWS(Sprint_Metrics!$F$7:$F$16)))</f>
        <v>7</v>
      </c>
      <c r="F218" s="29" t="n">
        <f aca="false">INDEX(Sprint_Metrics!$F$7:$F$16,RANDBETWEEN(1,ROWS(Sprint_Metrics!$F$7:$F$16)))</f>
        <v>7</v>
      </c>
      <c r="G218" s="29" t="n">
        <f aca="false">INDEX(Sprint_Metrics!$F$7:$F$16,RANDBETWEEN(1,ROWS(Sprint_Metrics!$F$7:$F$16)))</f>
        <v>7</v>
      </c>
      <c r="H218" s="29" t="n">
        <f aca="false">INDEX(Sprint_Metrics!$F$7:$F$16,RANDBETWEEN(1,ROWS(Sprint_Metrics!$F$7:$F$16)))</f>
        <v>11</v>
      </c>
      <c r="I218" s="29" t="n">
        <f aca="false">INDEX(Sprint_Metrics!$F$7:$F$16,RANDBETWEEN(1,ROWS(Sprint_Metrics!$F$7:$F$16)))</f>
        <v>9</v>
      </c>
      <c r="J218" s="29" t="n">
        <f aca="false">B218</f>
        <v>12</v>
      </c>
      <c r="K218" s="29" t="n">
        <f aca="false">J218+C218</f>
        <v>20</v>
      </c>
      <c r="L218" s="29" t="n">
        <f aca="false">K218+D218</f>
        <v>27</v>
      </c>
      <c r="M218" s="29" t="n">
        <f aca="false">L218+E218</f>
        <v>34</v>
      </c>
      <c r="N218" s="29" t="n">
        <f aca="false">M218+F218</f>
        <v>41</v>
      </c>
      <c r="O218" s="29" t="n">
        <f aca="false">N218+G218</f>
        <v>48</v>
      </c>
      <c r="P218" s="29" t="n">
        <f aca="false">O218+H218</f>
        <v>59</v>
      </c>
      <c r="Q218" s="29" t="n">
        <f aca="false">P218+I218</f>
        <v>68</v>
      </c>
    </row>
    <row r="219" customFormat="false" ht="15" hidden="false" customHeight="false" outlineLevel="0" collapsed="false">
      <c r="A219" s="29" t="n">
        <v>218</v>
      </c>
      <c r="B219" s="29" t="n">
        <f aca="false">INDEX(Sprint_Metrics!$F$7:$F$16,RANDBETWEEN(1,ROWS(Sprint_Metrics!$F$7:$F$16)))</f>
        <v>8</v>
      </c>
      <c r="C219" s="29" t="n">
        <f aca="false">INDEX(Sprint_Metrics!$F$7:$F$16,RANDBETWEEN(1,ROWS(Sprint_Metrics!$F$7:$F$16)))</f>
        <v>7</v>
      </c>
      <c r="D219" s="29" t="n">
        <f aca="false">INDEX(Sprint_Metrics!$F$7:$F$16,RANDBETWEEN(1,ROWS(Sprint_Metrics!$F$7:$F$16)))</f>
        <v>7</v>
      </c>
      <c r="E219" s="29" t="n">
        <f aca="false">INDEX(Sprint_Metrics!$F$7:$F$16,RANDBETWEEN(1,ROWS(Sprint_Metrics!$F$7:$F$16)))</f>
        <v>11</v>
      </c>
      <c r="F219" s="29" t="n">
        <f aca="false">INDEX(Sprint_Metrics!$F$7:$F$16,RANDBETWEEN(1,ROWS(Sprint_Metrics!$F$7:$F$16)))</f>
        <v>8</v>
      </c>
      <c r="G219" s="29" t="n">
        <f aca="false">INDEX(Sprint_Metrics!$F$7:$F$16,RANDBETWEEN(1,ROWS(Sprint_Metrics!$F$7:$F$16)))</f>
        <v>11</v>
      </c>
      <c r="H219" s="29" t="n">
        <f aca="false">INDEX(Sprint_Metrics!$F$7:$F$16,RANDBETWEEN(1,ROWS(Sprint_Metrics!$F$7:$F$16)))</f>
        <v>8</v>
      </c>
      <c r="I219" s="29" t="n">
        <f aca="false">INDEX(Sprint_Metrics!$F$7:$F$16,RANDBETWEEN(1,ROWS(Sprint_Metrics!$F$7:$F$16)))</f>
        <v>9</v>
      </c>
      <c r="J219" s="29" t="n">
        <f aca="false">B219</f>
        <v>8</v>
      </c>
      <c r="K219" s="29" t="n">
        <f aca="false">J219+C219</f>
        <v>15</v>
      </c>
      <c r="L219" s="29" t="n">
        <f aca="false">K219+D219</f>
        <v>22</v>
      </c>
      <c r="M219" s="29" t="n">
        <f aca="false">L219+E219</f>
        <v>33</v>
      </c>
      <c r="N219" s="29" t="n">
        <f aca="false">M219+F219</f>
        <v>41</v>
      </c>
      <c r="O219" s="29" t="n">
        <f aca="false">N219+G219</f>
        <v>52</v>
      </c>
      <c r="P219" s="29" t="n">
        <f aca="false">O219+H219</f>
        <v>60</v>
      </c>
      <c r="Q219" s="29" t="n">
        <f aca="false">P219+I219</f>
        <v>69</v>
      </c>
    </row>
    <row r="220" customFormat="false" ht="15" hidden="false" customHeight="false" outlineLevel="0" collapsed="false">
      <c r="A220" s="29" t="n">
        <v>219</v>
      </c>
      <c r="B220" s="29" t="n">
        <f aca="false">INDEX(Sprint_Metrics!$F$7:$F$16,RANDBETWEEN(1,ROWS(Sprint_Metrics!$F$7:$F$16)))</f>
        <v>9</v>
      </c>
      <c r="C220" s="29" t="n">
        <f aca="false">INDEX(Sprint_Metrics!$F$7:$F$16,RANDBETWEEN(1,ROWS(Sprint_Metrics!$F$7:$F$16)))</f>
        <v>9</v>
      </c>
      <c r="D220" s="29" t="n">
        <f aca="false">INDEX(Sprint_Metrics!$F$7:$F$16,RANDBETWEEN(1,ROWS(Sprint_Metrics!$F$7:$F$16)))</f>
        <v>12</v>
      </c>
      <c r="E220" s="29" t="n">
        <f aca="false">INDEX(Sprint_Metrics!$F$7:$F$16,RANDBETWEEN(1,ROWS(Sprint_Metrics!$F$7:$F$16)))</f>
        <v>11</v>
      </c>
      <c r="F220" s="29" t="n">
        <f aca="false">INDEX(Sprint_Metrics!$F$7:$F$16,RANDBETWEEN(1,ROWS(Sprint_Metrics!$F$7:$F$16)))</f>
        <v>12</v>
      </c>
      <c r="G220" s="29" t="n">
        <f aca="false">INDEX(Sprint_Metrics!$F$7:$F$16,RANDBETWEEN(1,ROWS(Sprint_Metrics!$F$7:$F$16)))</f>
        <v>7</v>
      </c>
      <c r="H220" s="29" t="n">
        <f aca="false">INDEX(Sprint_Metrics!$F$7:$F$16,RANDBETWEEN(1,ROWS(Sprint_Metrics!$F$7:$F$16)))</f>
        <v>8</v>
      </c>
      <c r="I220" s="29" t="n">
        <f aca="false">INDEX(Sprint_Metrics!$F$7:$F$16,RANDBETWEEN(1,ROWS(Sprint_Metrics!$F$7:$F$16)))</f>
        <v>8</v>
      </c>
      <c r="J220" s="29" t="n">
        <f aca="false">B220</f>
        <v>9</v>
      </c>
      <c r="K220" s="29" t="n">
        <f aca="false">J220+C220</f>
        <v>18</v>
      </c>
      <c r="L220" s="29" t="n">
        <f aca="false">K220+D220</f>
        <v>30</v>
      </c>
      <c r="M220" s="29" t="n">
        <f aca="false">L220+E220</f>
        <v>41</v>
      </c>
      <c r="N220" s="29" t="n">
        <f aca="false">M220+F220</f>
        <v>53</v>
      </c>
      <c r="O220" s="29" t="n">
        <f aca="false">N220+G220</f>
        <v>60</v>
      </c>
      <c r="P220" s="29" t="n">
        <f aca="false">O220+H220</f>
        <v>68</v>
      </c>
      <c r="Q220" s="29" t="n">
        <f aca="false">P220+I220</f>
        <v>76</v>
      </c>
    </row>
    <row r="221" customFormat="false" ht="15" hidden="false" customHeight="false" outlineLevel="0" collapsed="false">
      <c r="A221" s="29" t="n">
        <v>220</v>
      </c>
      <c r="B221" s="29" t="n">
        <f aca="false">INDEX(Sprint_Metrics!$F$7:$F$16,RANDBETWEEN(1,ROWS(Sprint_Metrics!$F$7:$F$16)))</f>
        <v>11</v>
      </c>
      <c r="C221" s="29" t="n">
        <f aca="false">INDEX(Sprint_Metrics!$F$7:$F$16,RANDBETWEEN(1,ROWS(Sprint_Metrics!$F$7:$F$16)))</f>
        <v>12</v>
      </c>
      <c r="D221" s="29" t="n">
        <f aca="false">INDEX(Sprint_Metrics!$F$7:$F$16,RANDBETWEEN(1,ROWS(Sprint_Metrics!$F$7:$F$16)))</f>
        <v>8</v>
      </c>
      <c r="E221" s="29" t="n">
        <f aca="false">INDEX(Sprint_Metrics!$F$7:$F$16,RANDBETWEEN(1,ROWS(Sprint_Metrics!$F$7:$F$16)))</f>
        <v>11</v>
      </c>
      <c r="F221" s="29" t="n">
        <f aca="false">INDEX(Sprint_Metrics!$F$7:$F$16,RANDBETWEEN(1,ROWS(Sprint_Metrics!$F$7:$F$16)))</f>
        <v>8</v>
      </c>
      <c r="G221" s="29" t="n">
        <f aca="false">INDEX(Sprint_Metrics!$F$7:$F$16,RANDBETWEEN(1,ROWS(Sprint_Metrics!$F$7:$F$16)))</f>
        <v>8</v>
      </c>
      <c r="H221" s="29" t="n">
        <f aca="false">INDEX(Sprint_Metrics!$F$7:$F$16,RANDBETWEEN(1,ROWS(Sprint_Metrics!$F$7:$F$16)))</f>
        <v>8</v>
      </c>
      <c r="I221" s="29" t="n">
        <f aca="false">INDEX(Sprint_Metrics!$F$7:$F$16,RANDBETWEEN(1,ROWS(Sprint_Metrics!$F$7:$F$16)))</f>
        <v>7</v>
      </c>
      <c r="J221" s="29" t="n">
        <f aca="false">B221</f>
        <v>11</v>
      </c>
      <c r="K221" s="29" t="n">
        <f aca="false">J221+C221</f>
        <v>23</v>
      </c>
      <c r="L221" s="29" t="n">
        <f aca="false">K221+D221</f>
        <v>31</v>
      </c>
      <c r="M221" s="29" t="n">
        <f aca="false">L221+E221</f>
        <v>42</v>
      </c>
      <c r="N221" s="29" t="n">
        <f aca="false">M221+F221</f>
        <v>50</v>
      </c>
      <c r="O221" s="29" t="n">
        <f aca="false">N221+G221</f>
        <v>58</v>
      </c>
      <c r="P221" s="29" t="n">
        <f aca="false">O221+H221</f>
        <v>66</v>
      </c>
      <c r="Q221" s="29" t="n">
        <f aca="false">P221+I221</f>
        <v>73</v>
      </c>
    </row>
    <row r="222" customFormat="false" ht="15" hidden="false" customHeight="false" outlineLevel="0" collapsed="false">
      <c r="A222" s="29" t="n">
        <v>221</v>
      </c>
      <c r="B222" s="29" t="n">
        <f aca="false">INDEX(Sprint_Metrics!$F$7:$F$16,RANDBETWEEN(1,ROWS(Sprint_Metrics!$F$7:$F$16)))</f>
        <v>8</v>
      </c>
      <c r="C222" s="29" t="n">
        <f aca="false">INDEX(Sprint_Metrics!$F$7:$F$16,RANDBETWEEN(1,ROWS(Sprint_Metrics!$F$7:$F$16)))</f>
        <v>7</v>
      </c>
      <c r="D222" s="29" t="n">
        <f aca="false">INDEX(Sprint_Metrics!$F$7:$F$16,RANDBETWEEN(1,ROWS(Sprint_Metrics!$F$7:$F$16)))</f>
        <v>11</v>
      </c>
      <c r="E222" s="29" t="n">
        <f aca="false">INDEX(Sprint_Metrics!$F$7:$F$16,RANDBETWEEN(1,ROWS(Sprint_Metrics!$F$7:$F$16)))</f>
        <v>8</v>
      </c>
      <c r="F222" s="29" t="n">
        <f aca="false">INDEX(Sprint_Metrics!$F$7:$F$16,RANDBETWEEN(1,ROWS(Sprint_Metrics!$F$7:$F$16)))</f>
        <v>7</v>
      </c>
      <c r="G222" s="29" t="n">
        <f aca="false">INDEX(Sprint_Metrics!$F$7:$F$16,RANDBETWEEN(1,ROWS(Sprint_Metrics!$F$7:$F$16)))</f>
        <v>8</v>
      </c>
      <c r="H222" s="29" t="n">
        <f aca="false">INDEX(Sprint_Metrics!$F$7:$F$16,RANDBETWEEN(1,ROWS(Sprint_Metrics!$F$7:$F$16)))</f>
        <v>9</v>
      </c>
      <c r="I222" s="29" t="n">
        <f aca="false">INDEX(Sprint_Metrics!$F$7:$F$16,RANDBETWEEN(1,ROWS(Sprint_Metrics!$F$7:$F$16)))</f>
        <v>9</v>
      </c>
      <c r="J222" s="29" t="n">
        <f aca="false">B222</f>
        <v>8</v>
      </c>
      <c r="K222" s="29" t="n">
        <f aca="false">J222+C222</f>
        <v>15</v>
      </c>
      <c r="L222" s="29" t="n">
        <f aca="false">K222+D222</f>
        <v>26</v>
      </c>
      <c r="M222" s="29" t="n">
        <f aca="false">L222+E222</f>
        <v>34</v>
      </c>
      <c r="N222" s="29" t="n">
        <f aca="false">M222+F222</f>
        <v>41</v>
      </c>
      <c r="O222" s="29" t="n">
        <f aca="false">N222+G222</f>
        <v>49</v>
      </c>
      <c r="P222" s="29" t="n">
        <f aca="false">O222+H222</f>
        <v>58</v>
      </c>
      <c r="Q222" s="29" t="n">
        <f aca="false">P222+I222</f>
        <v>67</v>
      </c>
    </row>
    <row r="223" customFormat="false" ht="15" hidden="false" customHeight="false" outlineLevel="0" collapsed="false">
      <c r="A223" s="29" t="n">
        <v>222</v>
      </c>
      <c r="B223" s="29" t="n">
        <f aca="false">INDEX(Sprint_Metrics!$F$7:$F$16,RANDBETWEEN(1,ROWS(Sprint_Metrics!$F$7:$F$16)))</f>
        <v>7</v>
      </c>
      <c r="C223" s="29" t="n">
        <f aca="false">INDEX(Sprint_Metrics!$F$7:$F$16,RANDBETWEEN(1,ROWS(Sprint_Metrics!$F$7:$F$16)))</f>
        <v>8</v>
      </c>
      <c r="D223" s="29" t="n">
        <f aca="false">INDEX(Sprint_Metrics!$F$7:$F$16,RANDBETWEEN(1,ROWS(Sprint_Metrics!$F$7:$F$16)))</f>
        <v>8</v>
      </c>
      <c r="E223" s="29" t="n">
        <f aca="false">INDEX(Sprint_Metrics!$F$7:$F$16,RANDBETWEEN(1,ROWS(Sprint_Metrics!$F$7:$F$16)))</f>
        <v>9</v>
      </c>
      <c r="F223" s="29" t="n">
        <f aca="false">INDEX(Sprint_Metrics!$F$7:$F$16,RANDBETWEEN(1,ROWS(Sprint_Metrics!$F$7:$F$16)))</f>
        <v>9</v>
      </c>
      <c r="G223" s="29" t="n">
        <f aca="false">INDEX(Sprint_Metrics!$F$7:$F$16,RANDBETWEEN(1,ROWS(Sprint_Metrics!$F$7:$F$16)))</f>
        <v>12</v>
      </c>
      <c r="H223" s="29" t="n">
        <f aca="false">INDEX(Sprint_Metrics!$F$7:$F$16,RANDBETWEEN(1,ROWS(Sprint_Metrics!$F$7:$F$16)))</f>
        <v>7</v>
      </c>
      <c r="I223" s="29" t="n">
        <f aca="false">INDEX(Sprint_Metrics!$F$7:$F$16,RANDBETWEEN(1,ROWS(Sprint_Metrics!$F$7:$F$16)))</f>
        <v>8</v>
      </c>
      <c r="J223" s="29" t="n">
        <f aca="false">B223</f>
        <v>7</v>
      </c>
      <c r="K223" s="29" t="n">
        <f aca="false">J223+C223</f>
        <v>15</v>
      </c>
      <c r="L223" s="29" t="n">
        <f aca="false">K223+D223</f>
        <v>23</v>
      </c>
      <c r="M223" s="29" t="n">
        <f aca="false">L223+E223</f>
        <v>32</v>
      </c>
      <c r="N223" s="29" t="n">
        <f aca="false">M223+F223</f>
        <v>41</v>
      </c>
      <c r="O223" s="29" t="n">
        <f aca="false">N223+G223</f>
        <v>53</v>
      </c>
      <c r="P223" s="29" t="n">
        <f aca="false">O223+H223</f>
        <v>60</v>
      </c>
      <c r="Q223" s="29" t="n">
        <f aca="false">P223+I223</f>
        <v>68</v>
      </c>
    </row>
    <row r="224" customFormat="false" ht="15" hidden="false" customHeight="false" outlineLevel="0" collapsed="false">
      <c r="A224" s="29" t="n">
        <v>223</v>
      </c>
      <c r="B224" s="29" t="n">
        <f aca="false">INDEX(Sprint_Metrics!$F$7:$F$16,RANDBETWEEN(1,ROWS(Sprint_Metrics!$F$7:$F$16)))</f>
        <v>7</v>
      </c>
      <c r="C224" s="29" t="n">
        <f aca="false">INDEX(Sprint_Metrics!$F$7:$F$16,RANDBETWEEN(1,ROWS(Sprint_Metrics!$F$7:$F$16)))</f>
        <v>11</v>
      </c>
      <c r="D224" s="29" t="n">
        <f aca="false">INDEX(Sprint_Metrics!$F$7:$F$16,RANDBETWEEN(1,ROWS(Sprint_Metrics!$F$7:$F$16)))</f>
        <v>8</v>
      </c>
      <c r="E224" s="29" t="n">
        <f aca="false">INDEX(Sprint_Metrics!$F$7:$F$16,RANDBETWEEN(1,ROWS(Sprint_Metrics!$F$7:$F$16)))</f>
        <v>8</v>
      </c>
      <c r="F224" s="29" t="n">
        <f aca="false">INDEX(Sprint_Metrics!$F$7:$F$16,RANDBETWEEN(1,ROWS(Sprint_Metrics!$F$7:$F$16)))</f>
        <v>8</v>
      </c>
      <c r="G224" s="29" t="n">
        <f aca="false">INDEX(Sprint_Metrics!$F$7:$F$16,RANDBETWEEN(1,ROWS(Sprint_Metrics!$F$7:$F$16)))</f>
        <v>11</v>
      </c>
      <c r="H224" s="29" t="n">
        <f aca="false">INDEX(Sprint_Metrics!$F$7:$F$16,RANDBETWEEN(1,ROWS(Sprint_Metrics!$F$7:$F$16)))</f>
        <v>9</v>
      </c>
      <c r="I224" s="29" t="n">
        <f aca="false">INDEX(Sprint_Metrics!$F$7:$F$16,RANDBETWEEN(1,ROWS(Sprint_Metrics!$F$7:$F$16)))</f>
        <v>8</v>
      </c>
      <c r="J224" s="29" t="n">
        <f aca="false">B224</f>
        <v>7</v>
      </c>
      <c r="K224" s="29" t="n">
        <f aca="false">J224+C224</f>
        <v>18</v>
      </c>
      <c r="L224" s="29" t="n">
        <f aca="false">K224+D224</f>
        <v>26</v>
      </c>
      <c r="M224" s="29" t="n">
        <f aca="false">L224+E224</f>
        <v>34</v>
      </c>
      <c r="N224" s="29" t="n">
        <f aca="false">M224+F224</f>
        <v>42</v>
      </c>
      <c r="O224" s="29" t="n">
        <f aca="false">N224+G224</f>
        <v>53</v>
      </c>
      <c r="P224" s="29" t="n">
        <f aca="false">O224+H224</f>
        <v>62</v>
      </c>
      <c r="Q224" s="29" t="n">
        <f aca="false">P224+I224</f>
        <v>70</v>
      </c>
    </row>
    <row r="225" customFormat="false" ht="15" hidden="false" customHeight="false" outlineLevel="0" collapsed="false">
      <c r="A225" s="29" t="n">
        <v>224</v>
      </c>
      <c r="B225" s="29" t="n">
        <f aca="false">INDEX(Sprint_Metrics!$F$7:$F$16,RANDBETWEEN(1,ROWS(Sprint_Metrics!$F$7:$F$16)))</f>
        <v>12</v>
      </c>
      <c r="C225" s="29" t="n">
        <f aca="false">INDEX(Sprint_Metrics!$F$7:$F$16,RANDBETWEEN(1,ROWS(Sprint_Metrics!$F$7:$F$16)))</f>
        <v>9</v>
      </c>
      <c r="D225" s="29" t="n">
        <f aca="false">INDEX(Sprint_Metrics!$F$7:$F$16,RANDBETWEEN(1,ROWS(Sprint_Metrics!$F$7:$F$16)))</f>
        <v>11</v>
      </c>
      <c r="E225" s="29" t="n">
        <f aca="false">INDEX(Sprint_Metrics!$F$7:$F$16,RANDBETWEEN(1,ROWS(Sprint_Metrics!$F$7:$F$16)))</f>
        <v>8</v>
      </c>
      <c r="F225" s="29" t="n">
        <f aca="false">INDEX(Sprint_Metrics!$F$7:$F$16,RANDBETWEEN(1,ROWS(Sprint_Metrics!$F$7:$F$16)))</f>
        <v>8</v>
      </c>
      <c r="G225" s="29" t="n">
        <f aca="false">INDEX(Sprint_Metrics!$F$7:$F$16,RANDBETWEEN(1,ROWS(Sprint_Metrics!$F$7:$F$16)))</f>
        <v>8</v>
      </c>
      <c r="H225" s="29" t="n">
        <f aca="false">INDEX(Sprint_Metrics!$F$7:$F$16,RANDBETWEEN(1,ROWS(Sprint_Metrics!$F$7:$F$16)))</f>
        <v>12</v>
      </c>
      <c r="I225" s="29" t="n">
        <f aca="false">INDEX(Sprint_Metrics!$F$7:$F$16,RANDBETWEEN(1,ROWS(Sprint_Metrics!$F$7:$F$16)))</f>
        <v>11</v>
      </c>
      <c r="J225" s="29" t="n">
        <f aca="false">B225</f>
        <v>12</v>
      </c>
      <c r="K225" s="29" t="n">
        <f aca="false">J225+C225</f>
        <v>21</v>
      </c>
      <c r="L225" s="29" t="n">
        <f aca="false">K225+D225</f>
        <v>32</v>
      </c>
      <c r="M225" s="29" t="n">
        <f aca="false">L225+E225</f>
        <v>40</v>
      </c>
      <c r="N225" s="29" t="n">
        <f aca="false">M225+F225</f>
        <v>48</v>
      </c>
      <c r="O225" s="29" t="n">
        <f aca="false">N225+G225</f>
        <v>56</v>
      </c>
      <c r="P225" s="29" t="n">
        <f aca="false">O225+H225</f>
        <v>68</v>
      </c>
      <c r="Q225" s="29" t="n">
        <f aca="false">P225+I225</f>
        <v>79</v>
      </c>
    </row>
    <row r="226" customFormat="false" ht="15" hidden="false" customHeight="false" outlineLevel="0" collapsed="false">
      <c r="A226" s="29" t="n">
        <v>225</v>
      </c>
      <c r="B226" s="29" t="n">
        <f aca="false">INDEX(Sprint_Metrics!$F$7:$F$16,RANDBETWEEN(1,ROWS(Sprint_Metrics!$F$7:$F$16)))</f>
        <v>8</v>
      </c>
      <c r="C226" s="29" t="n">
        <f aca="false">INDEX(Sprint_Metrics!$F$7:$F$16,RANDBETWEEN(1,ROWS(Sprint_Metrics!$F$7:$F$16)))</f>
        <v>8</v>
      </c>
      <c r="D226" s="29" t="n">
        <f aca="false">INDEX(Sprint_Metrics!$F$7:$F$16,RANDBETWEEN(1,ROWS(Sprint_Metrics!$F$7:$F$16)))</f>
        <v>8</v>
      </c>
      <c r="E226" s="29" t="n">
        <f aca="false">INDEX(Sprint_Metrics!$F$7:$F$16,RANDBETWEEN(1,ROWS(Sprint_Metrics!$F$7:$F$16)))</f>
        <v>11</v>
      </c>
      <c r="F226" s="29" t="n">
        <f aca="false">INDEX(Sprint_Metrics!$F$7:$F$16,RANDBETWEEN(1,ROWS(Sprint_Metrics!$F$7:$F$16)))</f>
        <v>7</v>
      </c>
      <c r="G226" s="29" t="n">
        <f aca="false">INDEX(Sprint_Metrics!$F$7:$F$16,RANDBETWEEN(1,ROWS(Sprint_Metrics!$F$7:$F$16)))</f>
        <v>7</v>
      </c>
      <c r="H226" s="29" t="n">
        <f aca="false">INDEX(Sprint_Metrics!$F$7:$F$16,RANDBETWEEN(1,ROWS(Sprint_Metrics!$F$7:$F$16)))</f>
        <v>7</v>
      </c>
      <c r="I226" s="29" t="n">
        <f aca="false">INDEX(Sprint_Metrics!$F$7:$F$16,RANDBETWEEN(1,ROWS(Sprint_Metrics!$F$7:$F$16)))</f>
        <v>7</v>
      </c>
      <c r="J226" s="29" t="n">
        <f aca="false">B226</f>
        <v>8</v>
      </c>
      <c r="K226" s="29" t="n">
        <f aca="false">J226+C226</f>
        <v>16</v>
      </c>
      <c r="L226" s="29" t="n">
        <f aca="false">K226+D226</f>
        <v>24</v>
      </c>
      <c r="M226" s="29" t="n">
        <f aca="false">L226+E226</f>
        <v>35</v>
      </c>
      <c r="N226" s="29" t="n">
        <f aca="false">M226+F226</f>
        <v>42</v>
      </c>
      <c r="O226" s="29" t="n">
        <f aca="false">N226+G226</f>
        <v>49</v>
      </c>
      <c r="P226" s="29" t="n">
        <f aca="false">O226+H226</f>
        <v>56</v>
      </c>
      <c r="Q226" s="29" t="n">
        <f aca="false">P226+I226</f>
        <v>63</v>
      </c>
    </row>
    <row r="227" customFormat="false" ht="15" hidden="false" customHeight="false" outlineLevel="0" collapsed="false">
      <c r="A227" s="29" t="n">
        <v>226</v>
      </c>
      <c r="B227" s="29" t="n">
        <f aca="false">INDEX(Sprint_Metrics!$F$7:$F$16,RANDBETWEEN(1,ROWS(Sprint_Metrics!$F$7:$F$16)))</f>
        <v>9</v>
      </c>
      <c r="C227" s="29" t="n">
        <f aca="false">INDEX(Sprint_Metrics!$F$7:$F$16,RANDBETWEEN(1,ROWS(Sprint_Metrics!$F$7:$F$16)))</f>
        <v>7</v>
      </c>
      <c r="D227" s="29" t="n">
        <f aca="false">INDEX(Sprint_Metrics!$F$7:$F$16,RANDBETWEEN(1,ROWS(Sprint_Metrics!$F$7:$F$16)))</f>
        <v>8</v>
      </c>
      <c r="E227" s="29" t="n">
        <f aca="false">INDEX(Sprint_Metrics!$F$7:$F$16,RANDBETWEEN(1,ROWS(Sprint_Metrics!$F$7:$F$16)))</f>
        <v>7</v>
      </c>
      <c r="F227" s="29" t="n">
        <f aca="false">INDEX(Sprint_Metrics!$F$7:$F$16,RANDBETWEEN(1,ROWS(Sprint_Metrics!$F$7:$F$16)))</f>
        <v>11</v>
      </c>
      <c r="G227" s="29" t="n">
        <f aca="false">INDEX(Sprint_Metrics!$F$7:$F$16,RANDBETWEEN(1,ROWS(Sprint_Metrics!$F$7:$F$16)))</f>
        <v>8</v>
      </c>
      <c r="H227" s="29" t="n">
        <f aca="false">INDEX(Sprint_Metrics!$F$7:$F$16,RANDBETWEEN(1,ROWS(Sprint_Metrics!$F$7:$F$16)))</f>
        <v>12</v>
      </c>
      <c r="I227" s="29" t="n">
        <f aca="false">INDEX(Sprint_Metrics!$F$7:$F$16,RANDBETWEEN(1,ROWS(Sprint_Metrics!$F$7:$F$16)))</f>
        <v>11</v>
      </c>
      <c r="J227" s="29" t="n">
        <f aca="false">B227</f>
        <v>9</v>
      </c>
      <c r="K227" s="29" t="n">
        <f aca="false">J227+C227</f>
        <v>16</v>
      </c>
      <c r="L227" s="29" t="n">
        <f aca="false">K227+D227</f>
        <v>24</v>
      </c>
      <c r="M227" s="29" t="n">
        <f aca="false">L227+E227</f>
        <v>31</v>
      </c>
      <c r="N227" s="29" t="n">
        <f aca="false">M227+F227</f>
        <v>42</v>
      </c>
      <c r="O227" s="29" t="n">
        <f aca="false">N227+G227</f>
        <v>50</v>
      </c>
      <c r="P227" s="29" t="n">
        <f aca="false">O227+H227</f>
        <v>62</v>
      </c>
      <c r="Q227" s="29" t="n">
        <f aca="false">P227+I227</f>
        <v>73</v>
      </c>
    </row>
    <row r="228" customFormat="false" ht="15" hidden="false" customHeight="false" outlineLevel="0" collapsed="false">
      <c r="A228" s="29" t="n">
        <v>227</v>
      </c>
      <c r="B228" s="29" t="n">
        <f aca="false">INDEX(Sprint_Metrics!$F$7:$F$16,RANDBETWEEN(1,ROWS(Sprint_Metrics!$F$7:$F$16)))</f>
        <v>8</v>
      </c>
      <c r="C228" s="29" t="n">
        <f aca="false">INDEX(Sprint_Metrics!$F$7:$F$16,RANDBETWEEN(1,ROWS(Sprint_Metrics!$F$7:$F$16)))</f>
        <v>7</v>
      </c>
      <c r="D228" s="29" t="n">
        <f aca="false">INDEX(Sprint_Metrics!$F$7:$F$16,RANDBETWEEN(1,ROWS(Sprint_Metrics!$F$7:$F$16)))</f>
        <v>11</v>
      </c>
      <c r="E228" s="29" t="n">
        <f aca="false">INDEX(Sprint_Metrics!$F$7:$F$16,RANDBETWEEN(1,ROWS(Sprint_Metrics!$F$7:$F$16)))</f>
        <v>8</v>
      </c>
      <c r="F228" s="29" t="n">
        <f aca="false">INDEX(Sprint_Metrics!$F$7:$F$16,RANDBETWEEN(1,ROWS(Sprint_Metrics!$F$7:$F$16)))</f>
        <v>8</v>
      </c>
      <c r="G228" s="29" t="n">
        <f aca="false">INDEX(Sprint_Metrics!$F$7:$F$16,RANDBETWEEN(1,ROWS(Sprint_Metrics!$F$7:$F$16)))</f>
        <v>8</v>
      </c>
      <c r="H228" s="29" t="n">
        <f aca="false">INDEX(Sprint_Metrics!$F$7:$F$16,RANDBETWEEN(1,ROWS(Sprint_Metrics!$F$7:$F$16)))</f>
        <v>8</v>
      </c>
      <c r="I228" s="29" t="n">
        <f aca="false">INDEX(Sprint_Metrics!$F$7:$F$16,RANDBETWEEN(1,ROWS(Sprint_Metrics!$F$7:$F$16)))</f>
        <v>8</v>
      </c>
      <c r="J228" s="29" t="n">
        <f aca="false">B228</f>
        <v>8</v>
      </c>
      <c r="K228" s="29" t="n">
        <f aca="false">J228+C228</f>
        <v>15</v>
      </c>
      <c r="L228" s="29" t="n">
        <f aca="false">K228+D228</f>
        <v>26</v>
      </c>
      <c r="M228" s="29" t="n">
        <f aca="false">L228+E228</f>
        <v>34</v>
      </c>
      <c r="N228" s="29" t="n">
        <f aca="false">M228+F228</f>
        <v>42</v>
      </c>
      <c r="O228" s="29" t="n">
        <f aca="false">N228+G228</f>
        <v>50</v>
      </c>
      <c r="P228" s="29" t="n">
        <f aca="false">O228+H228</f>
        <v>58</v>
      </c>
      <c r="Q228" s="29" t="n">
        <f aca="false">P228+I228</f>
        <v>66</v>
      </c>
    </row>
    <row r="229" customFormat="false" ht="15" hidden="false" customHeight="false" outlineLevel="0" collapsed="false">
      <c r="A229" s="29" t="n">
        <v>228</v>
      </c>
      <c r="B229" s="29" t="n">
        <f aca="false">INDEX(Sprint_Metrics!$F$7:$F$16,RANDBETWEEN(1,ROWS(Sprint_Metrics!$F$7:$F$16)))</f>
        <v>12</v>
      </c>
      <c r="C229" s="29" t="n">
        <f aca="false">INDEX(Sprint_Metrics!$F$7:$F$16,RANDBETWEEN(1,ROWS(Sprint_Metrics!$F$7:$F$16)))</f>
        <v>8</v>
      </c>
      <c r="D229" s="29" t="n">
        <f aca="false">INDEX(Sprint_Metrics!$F$7:$F$16,RANDBETWEEN(1,ROWS(Sprint_Metrics!$F$7:$F$16)))</f>
        <v>9</v>
      </c>
      <c r="E229" s="29" t="n">
        <f aca="false">INDEX(Sprint_Metrics!$F$7:$F$16,RANDBETWEEN(1,ROWS(Sprint_Metrics!$F$7:$F$16)))</f>
        <v>11</v>
      </c>
      <c r="F229" s="29" t="n">
        <f aca="false">INDEX(Sprint_Metrics!$F$7:$F$16,RANDBETWEEN(1,ROWS(Sprint_Metrics!$F$7:$F$16)))</f>
        <v>11</v>
      </c>
      <c r="G229" s="29" t="n">
        <f aca="false">INDEX(Sprint_Metrics!$F$7:$F$16,RANDBETWEEN(1,ROWS(Sprint_Metrics!$F$7:$F$16)))</f>
        <v>8</v>
      </c>
      <c r="H229" s="29" t="n">
        <f aca="false">INDEX(Sprint_Metrics!$F$7:$F$16,RANDBETWEEN(1,ROWS(Sprint_Metrics!$F$7:$F$16)))</f>
        <v>8</v>
      </c>
      <c r="I229" s="29" t="n">
        <f aca="false">INDEX(Sprint_Metrics!$F$7:$F$16,RANDBETWEEN(1,ROWS(Sprint_Metrics!$F$7:$F$16)))</f>
        <v>8</v>
      </c>
      <c r="J229" s="29" t="n">
        <f aca="false">B229</f>
        <v>12</v>
      </c>
      <c r="K229" s="29" t="n">
        <f aca="false">J229+C229</f>
        <v>20</v>
      </c>
      <c r="L229" s="29" t="n">
        <f aca="false">K229+D229</f>
        <v>29</v>
      </c>
      <c r="M229" s="29" t="n">
        <f aca="false">L229+E229</f>
        <v>40</v>
      </c>
      <c r="N229" s="29" t="n">
        <f aca="false">M229+F229</f>
        <v>51</v>
      </c>
      <c r="O229" s="29" t="n">
        <f aca="false">N229+G229</f>
        <v>59</v>
      </c>
      <c r="P229" s="29" t="n">
        <f aca="false">O229+H229</f>
        <v>67</v>
      </c>
      <c r="Q229" s="29" t="n">
        <f aca="false">P229+I229</f>
        <v>75</v>
      </c>
    </row>
    <row r="230" customFormat="false" ht="15" hidden="false" customHeight="false" outlineLevel="0" collapsed="false">
      <c r="A230" s="29" t="n">
        <v>229</v>
      </c>
      <c r="B230" s="29" t="n">
        <f aca="false">INDEX(Sprint_Metrics!$F$7:$F$16,RANDBETWEEN(1,ROWS(Sprint_Metrics!$F$7:$F$16)))</f>
        <v>9</v>
      </c>
      <c r="C230" s="29" t="n">
        <f aca="false">INDEX(Sprint_Metrics!$F$7:$F$16,RANDBETWEEN(1,ROWS(Sprint_Metrics!$F$7:$F$16)))</f>
        <v>11</v>
      </c>
      <c r="D230" s="29" t="n">
        <f aca="false">INDEX(Sprint_Metrics!$F$7:$F$16,RANDBETWEEN(1,ROWS(Sprint_Metrics!$F$7:$F$16)))</f>
        <v>11</v>
      </c>
      <c r="E230" s="29" t="n">
        <f aca="false">INDEX(Sprint_Metrics!$F$7:$F$16,RANDBETWEEN(1,ROWS(Sprint_Metrics!$F$7:$F$16)))</f>
        <v>8</v>
      </c>
      <c r="F230" s="29" t="n">
        <f aca="false">INDEX(Sprint_Metrics!$F$7:$F$16,RANDBETWEEN(1,ROWS(Sprint_Metrics!$F$7:$F$16)))</f>
        <v>7</v>
      </c>
      <c r="G230" s="29" t="n">
        <f aca="false">INDEX(Sprint_Metrics!$F$7:$F$16,RANDBETWEEN(1,ROWS(Sprint_Metrics!$F$7:$F$16)))</f>
        <v>8</v>
      </c>
      <c r="H230" s="29" t="n">
        <f aca="false">INDEX(Sprint_Metrics!$F$7:$F$16,RANDBETWEEN(1,ROWS(Sprint_Metrics!$F$7:$F$16)))</f>
        <v>9</v>
      </c>
      <c r="I230" s="29" t="n">
        <f aca="false">INDEX(Sprint_Metrics!$F$7:$F$16,RANDBETWEEN(1,ROWS(Sprint_Metrics!$F$7:$F$16)))</f>
        <v>12</v>
      </c>
      <c r="J230" s="29" t="n">
        <f aca="false">B230</f>
        <v>9</v>
      </c>
      <c r="K230" s="29" t="n">
        <f aca="false">J230+C230</f>
        <v>20</v>
      </c>
      <c r="L230" s="29" t="n">
        <f aca="false">K230+D230</f>
        <v>31</v>
      </c>
      <c r="M230" s="29" t="n">
        <f aca="false">L230+E230</f>
        <v>39</v>
      </c>
      <c r="N230" s="29" t="n">
        <f aca="false">M230+F230</f>
        <v>46</v>
      </c>
      <c r="O230" s="29" t="n">
        <f aca="false">N230+G230</f>
        <v>54</v>
      </c>
      <c r="P230" s="29" t="n">
        <f aca="false">O230+H230</f>
        <v>63</v>
      </c>
      <c r="Q230" s="29" t="n">
        <f aca="false">P230+I230</f>
        <v>75</v>
      </c>
    </row>
    <row r="231" customFormat="false" ht="15" hidden="false" customHeight="false" outlineLevel="0" collapsed="false">
      <c r="A231" s="29" t="n">
        <v>230</v>
      </c>
      <c r="B231" s="29" t="n">
        <f aca="false">INDEX(Sprint_Metrics!$F$7:$F$16,RANDBETWEEN(1,ROWS(Sprint_Metrics!$F$7:$F$16)))</f>
        <v>8</v>
      </c>
      <c r="C231" s="29" t="n">
        <f aca="false">INDEX(Sprint_Metrics!$F$7:$F$16,RANDBETWEEN(1,ROWS(Sprint_Metrics!$F$7:$F$16)))</f>
        <v>11</v>
      </c>
      <c r="D231" s="29" t="n">
        <f aca="false">INDEX(Sprint_Metrics!$F$7:$F$16,RANDBETWEEN(1,ROWS(Sprint_Metrics!$F$7:$F$16)))</f>
        <v>9</v>
      </c>
      <c r="E231" s="29" t="n">
        <f aca="false">INDEX(Sprint_Metrics!$F$7:$F$16,RANDBETWEEN(1,ROWS(Sprint_Metrics!$F$7:$F$16)))</f>
        <v>7</v>
      </c>
      <c r="F231" s="29" t="n">
        <f aca="false">INDEX(Sprint_Metrics!$F$7:$F$16,RANDBETWEEN(1,ROWS(Sprint_Metrics!$F$7:$F$16)))</f>
        <v>12</v>
      </c>
      <c r="G231" s="29" t="n">
        <f aca="false">INDEX(Sprint_Metrics!$F$7:$F$16,RANDBETWEEN(1,ROWS(Sprint_Metrics!$F$7:$F$16)))</f>
        <v>9</v>
      </c>
      <c r="H231" s="29" t="n">
        <f aca="false">INDEX(Sprint_Metrics!$F$7:$F$16,RANDBETWEEN(1,ROWS(Sprint_Metrics!$F$7:$F$16)))</f>
        <v>9</v>
      </c>
      <c r="I231" s="29" t="n">
        <f aca="false">INDEX(Sprint_Metrics!$F$7:$F$16,RANDBETWEEN(1,ROWS(Sprint_Metrics!$F$7:$F$16)))</f>
        <v>7</v>
      </c>
      <c r="J231" s="29" t="n">
        <f aca="false">B231</f>
        <v>8</v>
      </c>
      <c r="K231" s="29" t="n">
        <f aca="false">J231+C231</f>
        <v>19</v>
      </c>
      <c r="L231" s="29" t="n">
        <f aca="false">K231+D231</f>
        <v>28</v>
      </c>
      <c r="M231" s="29" t="n">
        <f aca="false">L231+E231</f>
        <v>35</v>
      </c>
      <c r="N231" s="29" t="n">
        <f aca="false">M231+F231</f>
        <v>47</v>
      </c>
      <c r="O231" s="29" t="n">
        <f aca="false">N231+G231</f>
        <v>56</v>
      </c>
      <c r="P231" s="29" t="n">
        <f aca="false">O231+H231</f>
        <v>65</v>
      </c>
      <c r="Q231" s="29" t="n">
        <f aca="false">P231+I231</f>
        <v>72</v>
      </c>
    </row>
    <row r="232" customFormat="false" ht="15" hidden="false" customHeight="false" outlineLevel="0" collapsed="false">
      <c r="A232" s="29" t="n">
        <v>231</v>
      </c>
      <c r="B232" s="29" t="n">
        <f aca="false">INDEX(Sprint_Metrics!$F$7:$F$16,RANDBETWEEN(1,ROWS(Sprint_Metrics!$F$7:$F$16)))</f>
        <v>8</v>
      </c>
      <c r="C232" s="29" t="n">
        <f aca="false">INDEX(Sprint_Metrics!$F$7:$F$16,RANDBETWEEN(1,ROWS(Sprint_Metrics!$F$7:$F$16)))</f>
        <v>11</v>
      </c>
      <c r="D232" s="29" t="n">
        <f aca="false">INDEX(Sprint_Metrics!$F$7:$F$16,RANDBETWEEN(1,ROWS(Sprint_Metrics!$F$7:$F$16)))</f>
        <v>11</v>
      </c>
      <c r="E232" s="29" t="n">
        <f aca="false">INDEX(Sprint_Metrics!$F$7:$F$16,RANDBETWEEN(1,ROWS(Sprint_Metrics!$F$7:$F$16)))</f>
        <v>12</v>
      </c>
      <c r="F232" s="29" t="n">
        <f aca="false">INDEX(Sprint_Metrics!$F$7:$F$16,RANDBETWEEN(1,ROWS(Sprint_Metrics!$F$7:$F$16)))</f>
        <v>9</v>
      </c>
      <c r="G232" s="29" t="n">
        <f aca="false">INDEX(Sprint_Metrics!$F$7:$F$16,RANDBETWEEN(1,ROWS(Sprint_Metrics!$F$7:$F$16)))</f>
        <v>8</v>
      </c>
      <c r="H232" s="29" t="n">
        <f aca="false">INDEX(Sprint_Metrics!$F$7:$F$16,RANDBETWEEN(1,ROWS(Sprint_Metrics!$F$7:$F$16)))</f>
        <v>11</v>
      </c>
      <c r="I232" s="29" t="n">
        <f aca="false">INDEX(Sprint_Metrics!$F$7:$F$16,RANDBETWEEN(1,ROWS(Sprint_Metrics!$F$7:$F$16)))</f>
        <v>9</v>
      </c>
      <c r="J232" s="29" t="n">
        <f aca="false">B232</f>
        <v>8</v>
      </c>
      <c r="K232" s="29" t="n">
        <f aca="false">J232+C232</f>
        <v>19</v>
      </c>
      <c r="L232" s="29" t="n">
        <f aca="false">K232+D232</f>
        <v>30</v>
      </c>
      <c r="M232" s="29" t="n">
        <f aca="false">L232+E232</f>
        <v>42</v>
      </c>
      <c r="N232" s="29" t="n">
        <f aca="false">M232+F232</f>
        <v>51</v>
      </c>
      <c r="O232" s="29" t="n">
        <f aca="false">N232+G232</f>
        <v>59</v>
      </c>
      <c r="P232" s="29" t="n">
        <f aca="false">O232+H232</f>
        <v>70</v>
      </c>
      <c r="Q232" s="29" t="n">
        <f aca="false">P232+I232</f>
        <v>79</v>
      </c>
    </row>
    <row r="233" customFormat="false" ht="15" hidden="false" customHeight="false" outlineLevel="0" collapsed="false">
      <c r="A233" s="29" t="n">
        <v>232</v>
      </c>
      <c r="B233" s="29" t="n">
        <f aca="false">INDEX(Sprint_Metrics!$F$7:$F$16,RANDBETWEEN(1,ROWS(Sprint_Metrics!$F$7:$F$16)))</f>
        <v>8</v>
      </c>
      <c r="C233" s="29" t="n">
        <f aca="false">INDEX(Sprint_Metrics!$F$7:$F$16,RANDBETWEEN(1,ROWS(Sprint_Metrics!$F$7:$F$16)))</f>
        <v>9</v>
      </c>
      <c r="D233" s="29" t="n">
        <f aca="false">INDEX(Sprint_Metrics!$F$7:$F$16,RANDBETWEEN(1,ROWS(Sprint_Metrics!$F$7:$F$16)))</f>
        <v>8</v>
      </c>
      <c r="E233" s="29" t="n">
        <f aca="false">INDEX(Sprint_Metrics!$F$7:$F$16,RANDBETWEEN(1,ROWS(Sprint_Metrics!$F$7:$F$16)))</f>
        <v>9</v>
      </c>
      <c r="F233" s="29" t="n">
        <f aca="false">INDEX(Sprint_Metrics!$F$7:$F$16,RANDBETWEEN(1,ROWS(Sprint_Metrics!$F$7:$F$16)))</f>
        <v>7</v>
      </c>
      <c r="G233" s="29" t="n">
        <f aca="false">INDEX(Sprint_Metrics!$F$7:$F$16,RANDBETWEEN(1,ROWS(Sprint_Metrics!$F$7:$F$16)))</f>
        <v>11</v>
      </c>
      <c r="H233" s="29" t="n">
        <f aca="false">INDEX(Sprint_Metrics!$F$7:$F$16,RANDBETWEEN(1,ROWS(Sprint_Metrics!$F$7:$F$16)))</f>
        <v>9</v>
      </c>
      <c r="I233" s="29" t="n">
        <f aca="false">INDEX(Sprint_Metrics!$F$7:$F$16,RANDBETWEEN(1,ROWS(Sprint_Metrics!$F$7:$F$16)))</f>
        <v>7</v>
      </c>
      <c r="J233" s="29" t="n">
        <f aca="false">B233</f>
        <v>8</v>
      </c>
      <c r="K233" s="29" t="n">
        <f aca="false">J233+C233</f>
        <v>17</v>
      </c>
      <c r="L233" s="29" t="n">
        <f aca="false">K233+D233</f>
        <v>25</v>
      </c>
      <c r="M233" s="29" t="n">
        <f aca="false">L233+E233</f>
        <v>34</v>
      </c>
      <c r="N233" s="29" t="n">
        <f aca="false">M233+F233</f>
        <v>41</v>
      </c>
      <c r="O233" s="29" t="n">
        <f aca="false">N233+G233</f>
        <v>52</v>
      </c>
      <c r="P233" s="29" t="n">
        <f aca="false">O233+H233</f>
        <v>61</v>
      </c>
      <c r="Q233" s="29" t="n">
        <f aca="false">P233+I233</f>
        <v>68</v>
      </c>
    </row>
    <row r="234" customFormat="false" ht="15" hidden="false" customHeight="false" outlineLevel="0" collapsed="false">
      <c r="A234" s="29" t="n">
        <v>233</v>
      </c>
      <c r="B234" s="29" t="n">
        <f aca="false">INDEX(Sprint_Metrics!$F$7:$F$16,RANDBETWEEN(1,ROWS(Sprint_Metrics!$F$7:$F$16)))</f>
        <v>11</v>
      </c>
      <c r="C234" s="29" t="n">
        <f aca="false">INDEX(Sprint_Metrics!$F$7:$F$16,RANDBETWEEN(1,ROWS(Sprint_Metrics!$F$7:$F$16)))</f>
        <v>9</v>
      </c>
      <c r="D234" s="29" t="n">
        <f aca="false">INDEX(Sprint_Metrics!$F$7:$F$16,RANDBETWEEN(1,ROWS(Sprint_Metrics!$F$7:$F$16)))</f>
        <v>9</v>
      </c>
      <c r="E234" s="29" t="n">
        <f aca="false">INDEX(Sprint_Metrics!$F$7:$F$16,RANDBETWEEN(1,ROWS(Sprint_Metrics!$F$7:$F$16)))</f>
        <v>8</v>
      </c>
      <c r="F234" s="29" t="n">
        <f aca="false">INDEX(Sprint_Metrics!$F$7:$F$16,RANDBETWEEN(1,ROWS(Sprint_Metrics!$F$7:$F$16)))</f>
        <v>7</v>
      </c>
      <c r="G234" s="29" t="n">
        <f aca="false">INDEX(Sprint_Metrics!$F$7:$F$16,RANDBETWEEN(1,ROWS(Sprint_Metrics!$F$7:$F$16)))</f>
        <v>8</v>
      </c>
      <c r="H234" s="29" t="n">
        <f aca="false">INDEX(Sprint_Metrics!$F$7:$F$16,RANDBETWEEN(1,ROWS(Sprint_Metrics!$F$7:$F$16)))</f>
        <v>11</v>
      </c>
      <c r="I234" s="29" t="n">
        <f aca="false">INDEX(Sprint_Metrics!$F$7:$F$16,RANDBETWEEN(1,ROWS(Sprint_Metrics!$F$7:$F$16)))</f>
        <v>11</v>
      </c>
      <c r="J234" s="29" t="n">
        <f aca="false">B234</f>
        <v>11</v>
      </c>
      <c r="K234" s="29" t="n">
        <f aca="false">J234+C234</f>
        <v>20</v>
      </c>
      <c r="L234" s="29" t="n">
        <f aca="false">K234+D234</f>
        <v>29</v>
      </c>
      <c r="M234" s="29" t="n">
        <f aca="false">L234+E234</f>
        <v>37</v>
      </c>
      <c r="N234" s="29" t="n">
        <f aca="false">M234+F234</f>
        <v>44</v>
      </c>
      <c r="O234" s="29" t="n">
        <f aca="false">N234+G234</f>
        <v>52</v>
      </c>
      <c r="P234" s="29" t="n">
        <f aca="false">O234+H234</f>
        <v>63</v>
      </c>
      <c r="Q234" s="29" t="n">
        <f aca="false">P234+I234</f>
        <v>74</v>
      </c>
    </row>
    <row r="235" customFormat="false" ht="15" hidden="false" customHeight="false" outlineLevel="0" collapsed="false">
      <c r="A235" s="29" t="n">
        <v>234</v>
      </c>
      <c r="B235" s="29" t="n">
        <f aca="false">INDEX(Sprint_Metrics!$F$7:$F$16,RANDBETWEEN(1,ROWS(Sprint_Metrics!$F$7:$F$16)))</f>
        <v>12</v>
      </c>
      <c r="C235" s="29" t="n">
        <f aca="false">INDEX(Sprint_Metrics!$F$7:$F$16,RANDBETWEEN(1,ROWS(Sprint_Metrics!$F$7:$F$16)))</f>
        <v>8</v>
      </c>
      <c r="D235" s="29" t="n">
        <f aca="false">INDEX(Sprint_Metrics!$F$7:$F$16,RANDBETWEEN(1,ROWS(Sprint_Metrics!$F$7:$F$16)))</f>
        <v>12</v>
      </c>
      <c r="E235" s="29" t="n">
        <f aca="false">INDEX(Sprint_Metrics!$F$7:$F$16,RANDBETWEEN(1,ROWS(Sprint_Metrics!$F$7:$F$16)))</f>
        <v>8</v>
      </c>
      <c r="F235" s="29" t="n">
        <f aca="false">INDEX(Sprint_Metrics!$F$7:$F$16,RANDBETWEEN(1,ROWS(Sprint_Metrics!$F$7:$F$16)))</f>
        <v>7</v>
      </c>
      <c r="G235" s="29" t="n">
        <f aca="false">INDEX(Sprint_Metrics!$F$7:$F$16,RANDBETWEEN(1,ROWS(Sprint_Metrics!$F$7:$F$16)))</f>
        <v>8</v>
      </c>
      <c r="H235" s="29" t="n">
        <f aca="false">INDEX(Sprint_Metrics!$F$7:$F$16,RANDBETWEEN(1,ROWS(Sprint_Metrics!$F$7:$F$16)))</f>
        <v>7</v>
      </c>
      <c r="I235" s="29" t="n">
        <f aca="false">INDEX(Sprint_Metrics!$F$7:$F$16,RANDBETWEEN(1,ROWS(Sprint_Metrics!$F$7:$F$16)))</f>
        <v>8</v>
      </c>
      <c r="J235" s="29" t="n">
        <f aca="false">B235</f>
        <v>12</v>
      </c>
      <c r="K235" s="29" t="n">
        <f aca="false">J235+C235</f>
        <v>20</v>
      </c>
      <c r="L235" s="29" t="n">
        <f aca="false">K235+D235</f>
        <v>32</v>
      </c>
      <c r="M235" s="29" t="n">
        <f aca="false">L235+E235</f>
        <v>40</v>
      </c>
      <c r="N235" s="29" t="n">
        <f aca="false">M235+F235</f>
        <v>47</v>
      </c>
      <c r="O235" s="29" t="n">
        <f aca="false">N235+G235</f>
        <v>55</v>
      </c>
      <c r="P235" s="29" t="n">
        <f aca="false">O235+H235</f>
        <v>62</v>
      </c>
      <c r="Q235" s="29" t="n">
        <f aca="false">P235+I235</f>
        <v>70</v>
      </c>
    </row>
    <row r="236" customFormat="false" ht="15" hidden="false" customHeight="false" outlineLevel="0" collapsed="false">
      <c r="A236" s="29" t="n">
        <v>235</v>
      </c>
      <c r="B236" s="29" t="n">
        <f aca="false">INDEX(Sprint_Metrics!$F$7:$F$16,RANDBETWEEN(1,ROWS(Sprint_Metrics!$F$7:$F$16)))</f>
        <v>9</v>
      </c>
      <c r="C236" s="29" t="n">
        <f aca="false">INDEX(Sprint_Metrics!$F$7:$F$16,RANDBETWEEN(1,ROWS(Sprint_Metrics!$F$7:$F$16)))</f>
        <v>8</v>
      </c>
      <c r="D236" s="29" t="n">
        <f aca="false">INDEX(Sprint_Metrics!$F$7:$F$16,RANDBETWEEN(1,ROWS(Sprint_Metrics!$F$7:$F$16)))</f>
        <v>7</v>
      </c>
      <c r="E236" s="29" t="n">
        <f aca="false">INDEX(Sprint_Metrics!$F$7:$F$16,RANDBETWEEN(1,ROWS(Sprint_Metrics!$F$7:$F$16)))</f>
        <v>12</v>
      </c>
      <c r="F236" s="29" t="n">
        <f aca="false">INDEX(Sprint_Metrics!$F$7:$F$16,RANDBETWEEN(1,ROWS(Sprint_Metrics!$F$7:$F$16)))</f>
        <v>11</v>
      </c>
      <c r="G236" s="29" t="n">
        <f aca="false">INDEX(Sprint_Metrics!$F$7:$F$16,RANDBETWEEN(1,ROWS(Sprint_Metrics!$F$7:$F$16)))</f>
        <v>7</v>
      </c>
      <c r="H236" s="29" t="n">
        <f aca="false">INDEX(Sprint_Metrics!$F$7:$F$16,RANDBETWEEN(1,ROWS(Sprint_Metrics!$F$7:$F$16)))</f>
        <v>8</v>
      </c>
      <c r="I236" s="29" t="n">
        <f aca="false">INDEX(Sprint_Metrics!$F$7:$F$16,RANDBETWEEN(1,ROWS(Sprint_Metrics!$F$7:$F$16)))</f>
        <v>8</v>
      </c>
      <c r="J236" s="29" t="n">
        <f aca="false">B236</f>
        <v>9</v>
      </c>
      <c r="K236" s="29" t="n">
        <f aca="false">J236+C236</f>
        <v>17</v>
      </c>
      <c r="L236" s="29" t="n">
        <f aca="false">K236+D236</f>
        <v>24</v>
      </c>
      <c r="M236" s="29" t="n">
        <f aca="false">L236+E236</f>
        <v>36</v>
      </c>
      <c r="N236" s="29" t="n">
        <f aca="false">M236+F236</f>
        <v>47</v>
      </c>
      <c r="O236" s="29" t="n">
        <f aca="false">N236+G236</f>
        <v>54</v>
      </c>
      <c r="P236" s="29" t="n">
        <f aca="false">O236+H236</f>
        <v>62</v>
      </c>
      <c r="Q236" s="29" t="n">
        <f aca="false">P236+I236</f>
        <v>70</v>
      </c>
    </row>
    <row r="237" customFormat="false" ht="15" hidden="false" customHeight="false" outlineLevel="0" collapsed="false">
      <c r="A237" s="29" t="n">
        <v>236</v>
      </c>
      <c r="B237" s="29" t="n">
        <f aca="false">INDEX(Sprint_Metrics!$F$7:$F$16,RANDBETWEEN(1,ROWS(Sprint_Metrics!$F$7:$F$16)))</f>
        <v>7</v>
      </c>
      <c r="C237" s="29" t="n">
        <f aca="false">INDEX(Sprint_Metrics!$F$7:$F$16,RANDBETWEEN(1,ROWS(Sprint_Metrics!$F$7:$F$16)))</f>
        <v>9</v>
      </c>
      <c r="D237" s="29" t="n">
        <f aca="false">INDEX(Sprint_Metrics!$F$7:$F$16,RANDBETWEEN(1,ROWS(Sprint_Metrics!$F$7:$F$16)))</f>
        <v>8</v>
      </c>
      <c r="E237" s="29" t="n">
        <f aca="false">INDEX(Sprint_Metrics!$F$7:$F$16,RANDBETWEEN(1,ROWS(Sprint_Metrics!$F$7:$F$16)))</f>
        <v>11</v>
      </c>
      <c r="F237" s="29" t="n">
        <f aca="false">INDEX(Sprint_Metrics!$F$7:$F$16,RANDBETWEEN(1,ROWS(Sprint_Metrics!$F$7:$F$16)))</f>
        <v>7</v>
      </c>
      <c r="G237" s="29" t="n">
        <f aca="false">INDEX(Sprint_Metrics!$F$7:$F$16,RANDBETWEEN(1,ROWS(Sprint_Metrics!$F$7:$F$16)))</f>
        <v>7</v>
      </c>
      <c r="H237" s="29" t="n">
        <f aca="false">INDEX(Sprint_Metrics!$F$7:$F$16,RANDBETWEEN(1,ROWS(Sprint_Metrics!$F$7:$F$16)))</f>
        <v>9</v>
      </c>
      <c r="I237" s="29" t="n">
        <f aca="false">INDEX(Sprint_Metrics!$F$7:$F$16,RANDBETWEEN(1,ROWS(Sprint_Metrics!$F$7:$F$16)))</f>
        <v>11</v>
      </c>
      <c r="J237" s="29" t="n">
        <f aca="false">B237</f>
        <v>7</v>
      </c>
      <c r="K237" s="29" t="n">
        <f aca="false">J237+C237</f>
        <v>16</v>
      </c>
      <c r="L237" s="29" t="n">
        <f aca="false">K237+D237</f>
        <v>24</v>
      </c>
      <c r="M237" s="29" t="n">
        <f aca="false">L237+E237</f>
        <v>35</v>
      </c>
      <c r="N237" s="29" t="n">
        <f aca="false">M237+F237</f>
        <v>42</v>
      </c>
      <c r="O237" s="29" t="n">
        <f aca="false">N237+G237</f>
        <v>49</v>
      </c>
      <c r="P237" s="29" t="n">
        <f aca="false">O237+H237</f>
        <v>58</v>
      </c>
      <c r="Q237" s="29" t="n">
        <f aca="false">P237+I237</f>
        <v>69</v>
      </c>
    </row>
    <row r="238" customFormat="false" ht="15" hidden="false" customHeight="false" outlineLevel="0" collapsed="false">
      <c r="A238" s="29" t="n">
        <v>237</v>
      </c>
      <c r="B238" s="29" t="n">
        <f aca="false">INDEX(Sprint_Metrics!$F$7:$F$16,RANDBETWEEN(1,ROWS(Sprint_Metrics!$F$7:$F$16)))</f>
        <v>11</v>
      </c>
      <c r="C238" s="29" t="n">
        <f aca="false">INDEX(Sprint_Metrics!$F$7:$F$16,RANDBETWEEN(1,ROWS(Sprint_Metrics!$F$7:$F$16)))</f>
        <v>7</v>
      </c>
      <c r="D238" s="29" t="n">
        <f aca="false">INDEX(Sprint_Metrics!$F$7:$F$16,RANDBETWEEN(1,ROWS(Sprint_Metrics!$F$7:$F$16)))</f>
        <v>9</v>
      </c>
      <c r="E238" s="29" t="n">
        <f aca="false">INDEX(Sprint_Metrics!$F$7:$F$16,RANDBETWEEN(1,ROWS(Sprint_Metrics!$F$7:$F$16)))</f>
        <v>8</v>
      </c>
      <c r="F238" s="29" t="n">
        <f aca="false">INDEX(Sprint_Metrics!$F$7:$F$16,RANDBETWEEN(1,ROWS(Sprint_Metrics!$F$7:$F$16)))</f>
        <v>12</v>
      </c>
      <c r="G238" s="29" t="n">
        <f aca="false">INDEX(Sprint_Metrics!$F$7:$F$16,RANDBETWEEN(1,ROWS(Sprint_Metrics!$F$7:$F$16)))</f>
        <v>8</v>
      </c>
      <c r="H238" s="29" t="n">
        <f aca="false">INDEX(Sprint_Metrics!$F$7:$F$16,RANDBETWEEN(1,ROWS(Sprint_Metrics!$F$7:$F$16)))</f>
        <v>11</v>
      </c>
      <c r="I238" s="29" t="n">
        <f aca="false">INDEX(Sprint_Metrics!$F$7:$F$16,RANDBETWEEN(1,ROWS(Sprint_Metrics!$F$7:$F$16)))</f>
        <v>11</v>
      </c>
      <c r="J238" s="29" t="n">
        <f aca="false">B238</f>
        <v>11</v>
      </c>
      <c r="K238" s="29" t="n">
        <f aca="false">J238+C238</f>
        <v>18</v>
      </c>
      <c r="L238" s="29" t="n">
        <f aca="false">K238+D238</f>
        <v>27</v>
      </c>
      <c r="M238" s="29" t="n">
        <f aca="false">L238+E238</f>
        <v>35</v>
      </c>
      <c r="N238" s="29" t="n">
        <f aca="false">M238+F238</f>
        <v>47</v>
      </c>
      <c r="O238" s="29" t="n">
        <f aca="false">N238+G238</f>
        <v>55</v>
      </c>
      <c r="P238" s="29" t="n">
        <f aca="false">O238+H238</f>
        <v>66</v>
      </c>
      <c r="Q238" s="29" t="n">
        <f aca="false">P238+I238</f>
        <v>77</v>
      </c>
    </row>
    <row r="239" customFormat="false" ht="15" hidden="false" customHeight="false" outlineLevel="0" collapsed="false">
      <c r="A239" s="29" t="n">
        <v>238</v>
      </c>
      <c r="B239" s="29" t="n">
        <f aca="false">INDEX(Sprint_Metrics!$F$7:$F$16,RANDBETWEEN(1,ROWS(Sprint_Metrics!$F$7:$F$16)))</f>
        <v>11</v>
      </c>
      <c r="C239" s="29" t="n">
        <f aca="false">INDEX(Sprint_Metrics!$F$7:$F$16,RANDBETWEEN(1,ROWS(Sprint_Metrics!$F$7:$F$16)))</f>
        <v>9</v>
      </c>
      <c r="D239" s="29" t="n">
        <f aca="false">INDEX(Sprint_Metrics!$F$7:$F$16,RANDBETWEEN(1,ROWS(Sprint_Metrics!$F$7:$F$16)))</f>
        <v>11</v>
      </c>
      <c r="E239" s="29" t="n">
        <f aca="false">INDEX(Sprint_Metrics!$F$7:$F$16,RANDBETWEEN(1,ROWS(Sprint_Metrics!$F$7:$F$16)))</f>
        <v>8</v>
      </c>
      <c r="F239" s="29" t="n">
        <f aca="false">INDEX(Sprint_Metrics!$F$7:$F$16,RANDBETWEEN(1,ROWS(Sprint_Metrics!$F$7:$F$16)))</f>
        <v>7</v>
      </c>
      <c r="G239" s="29" t="n">
        <f aca="false">INDEX(Sprint_Metrics!$F$7:$F$16,RANDBETWEEN(1,ROWS(Sprint_Metrics!$F$7:$F$16)))</f>
        <v>8</v>
      </c>
      <c r="H239" s="29" t="n">
        <f aca="false">INDEX(Sprint_Metrics!$F$7:$F$16,RANDBETWEEN(1,ROWS(Sprint_Metrics!$F$7:$F$16)))</f>
        <v>8</v>
      </c>
      <c r="I239" s="29" t="n">
        <f aca="false">INDEX(Sprint_Metrics!$F$7:$F$16,RANDBETWEEN(1,ROWS(Sprint_Metrics!$F$7:$F$16)))</f>
        <v>9</v>
      </c>
      <c r="J239" s="29" t="n">
        <f aca="false">B239</f>
        <v>11</v>
      </c>
      <c r="K239" s="29" t="n">
        <f aca="false">J239+C239</f>
        <v>20</v>
      </c>
      <c r="L239" s="29" t="n">
        <f aca="false">K239+D239</f>
        <v>31</v>
      </c>
      <c r="M239" s="29" t="n">
        <f aca="false">L239+E239</f>
        <v>39</v>
      </c>
      <c r="N239" s="29" t="n">
        <f aca="false">M239+F239</f>
        <v>46</v>
      </c>
      <c r="O239" s="29" t="n">
        <f aca="false">N239+G239</f>
        <v>54</v>
      </c>
      <c r="P239" s="29" t="n">
        <f aca="false">O239+H239</f>
        <v>62</v>
      </c>
      <c r="Q239" s="29" t="n">
        <f aca="false">P239+I239</f>
        <v>71</v>
      </c>
    </row>
    <row r="240" customFormat="false" ht="15" hidden="false" customHeight="false" outlineLevel="0" collapsed="false">
      <c r="A240" s="29" t="n">
        <v>239</v>
      </c>
      <c r="B240" s="29" t="n">
        <f aca="false">INDEX(Sprint_Metrics!$F$7:$F$16,RANDBETWEEN(1,ROWS(Sprint_Metrics!$F$7:$F$16)))</f>
        <v>11</v>
      </c>
      <c r="C240" s="29" t="n">
        <f aca="false">INDEX(Sprint_Metrics!$F$7:$F$16,RANDBETWEEN(1,ROWS(Sprint_Metrics!$F$7:$F$16)))</f>
        <v>8</v>
      </c>
      <c r="D240" s="29" t="n">
        <f aca="false">INDEX(Sprint_Metrics!$F$7:$F$16,RANDBETWEEN(1,ROWS(Sprint_Metrics!$F$7:$F$16)))</f>
        <v>11</v>
      </c>
      <c r="E240" s="29" t="n">
        <f aca="false">INDEX(Sprint_Metrics!$F$7:$F$16,RANDBETWEEN(1,ROWS(Sprint_Metrics!$F$7:$F$16)))</f>
        <v>11</v>
      </c>
      <c r="F240" s="29" t="n">
        <f aca="false">INDEX(Sprint_Metrics!$F$7:$F$16,RANDBETWEEN(1,ROWS(Sprint_Metrics!$F$7:$F$16)))</f>
        <v>11</v>
      </c>
      <c r="G240" s="29" t="n">
        <f aca="false">INDEX(Sprint_Metrics!$F$7:$F$16,RANDBETWEEN(1,ROWS(Sprint_Metrics!$F$7:$F$16)))</f>
        <v>11</v>
      </c>
      <c r="H240" s="29" t="n">
        <f aca="false">INDEX(Sprint_Metrics!$F$7:$F$16,RANDBETWEEN(1,ROWS(Sprint_Metrics!$F$7:$F$16)))</f>
        <v>8</v>
      </c>
      <c r="I240" s="29" t="n">
        <f aca="false">INDEX(Sprint_Metrics!$F$7:$F$16,RANDBETWEEN(1,ROWS(Sprint_Metrics!$F$7:$F$16)))</f>
        <v>11</v>
      </c>
      <c r="J240" s="29" t="n">
        <f aca="false">B240</f>
        <v>11</v>
      </c>
      <c r="K240" s="29" t="n">
        <f aca="false">J240+C240</f>
        <v>19</v>
      </c>
      <c r="L240" s="29" t="n">
        <f aca="false">K240+D240</f>
        <v>30</v>
      </c>
      <c r="M240" s="29" t="n">
        <f aca="false">L240+E240</f>
        <v>41</v>
      </c>
      <c r="N240" s="29" t="n">
        <f aca="false">M240+F240</f>
        <v>52</v>
      </c>
      <c r="O240" s="29" t="n">
        <f aca="false">N240+G240</f>
        <v>63</v>
      </c>
      <c r="P240" s="29" t="n">
        <f aca="false">O240+H240</f>
        <v>71</v>
      </c>
      <c r="Q240" s="29" t="n">
        <f aca="false">P240+I240</f>
        <v>82</v>
      </c>
    </row>
    <row r="241" customFormat="false" ht="15" hidden="false" customHeight="false" outlineLevel="0" collapsed="false">
      <c r="A241" s="29" t="n">
        <v>240</v>
      </c>
      <c r="B241" s="29" t="n">
        <f aca="false">INDEX(Sprint_Metrics!$F$7:$F$16,RANDBETWEEN(1,ROWS(Sprint_Metrics!$F$7:$F$16)))</f>
        <v>11</v>
      </c>
      <c r="C241" s="29" t="n">
        <f aca="false">INDEX(Sprint_Metrics!$F$7:$F$16,RANDBETWEEN(1,ROWS(Sprint_Metrics!$F$7:$F$16)))</f>
        <v>9</v>
      </c>
      <c r="D241" s="29" t="n">
        <f aca="false">INDEX(Sprint_Metrics!$F$7:$F$16,RANDBETWEEN(1,ROWS(Sprint_Metrics!$F$7:$F$16)))</f>
        <v>7</v>
      </c>
      <c r="E241" s="29" t="n">
        <f aca="false">INDEX(Sprint_Metrics!$F$7:$F$16,RANDBETWEEN(1,ROWS(Sprint_Metrics!$F$7:$F$16)))</f>
        <v>12</v>
      </c>
      <c r="F241" s="29" t="n">
        <f aca="false">INDEX(Sprint_Metrics!$F$7:$F$16,RANDBETWEEN(1,ROWS(Sprint_Metrics!$F$7:$F$16)))</f>
        <v>9</v>
      </c>
      <c r="G241" s="29" t="n">
        <f aca="false">INDEX(Sprint_Metrics!$F$7:$F$16,RANDBETWEEN(1,ROWS(Sprint_Metrics!$F$7:$F$16)))</f>
        <v>9</v>
      </c>
      <c r="H241" s="29" t="n">
        <f aca="false">INDEX(Sprint_Metrics!$F$7:$F$16,RANDBETWEEN(1,ROWS(Sprint_Metrics!$F$7:$F$16)))</f>
        <v>12</v>
      </c>
      <c r="I241" s="29" t="n">
        <f aca="false">INDEX(Sprint_Metrics!$F$7:$F$16,RANDBETWEEN(1,ROWS(Sprint_Metrics!$F$7:$F$16)))</f>
        <v>7</v>
      </c>
      <c r="J241" s="29" t="n">
        <f aca="false">B241</f>
        <v>11</v>
      </c>
      <c r="K241" s="29" t="n">
        <f aca="false">J241+C241</f>
        <v>20</v>
      </c>
      <c r="L241" s="29" t="n">
        <f aca="false">K241+D241</f>
        <v>27</v>
      </c>
      <c r="M241" s="29" t="n">
        <f aca="false">L241+E241</f>
        <v>39</v>
      </c>
      <c r="N241" s="29" t="n">
        <f aca="false">M241+F241</f>
        <v>48</v>
      </c>
      <c r="O241" s="29" t="n">
        <f aca="false">N241+G241</f>
        <v>57</v>
      </c>
      <c r="P241" s="29" t="n">
        <f aca="false">O241+H241</f>
        <v>69</v>
      </c>
      <c r="Q241" s="29" t="n">
        <f aca="false">P241+I241</f>
        <v>76</v>
      </c>
    </row>
    <row r="242" customFormat="false" ht="15" hidden="false" customHeight="false" outlineLevel="0" collapsed="false">
      <c r="A242" s="29" t="n">
        <v>241</v>
      </c>
      <c r="B242" s="29" t="n">
        <f aca="false">INDEX(Sprint_Metrics!$F$7:$F$16,RANDBETWEEN(1,ROWS(Sprint_Metrics!$F$7:$F$16)))</f>
        <v>8</v>
      </c>
      <c r="C242" s="29" t="n">
        <f aca="false">INDEX(Sprint_Metrics!$F$7:$F$16,RANDBETWEEN(1,ROWS(Sprint_Metrics!$F$7:$F$16)))</f>
        <v>9</v>
      </c>
      <c r="D242" s="29" t="n">
        <f aca="false">INDEX(Sprint_Metrics!$F$7:$F$16,RANDBETWEEN(1,ROWS(Sprint_Metrics!$F$7:$F$16)))</f>
        <v>8</v>
      </c>
      <c r="E242" s="29" t="n">
        <f aca="false">INDEX(Sprint_Metrics!$F$7:$F$16,RANDBETWEEN(1,ROWS(Sprint_Metrics!$F$7:$F$16)))</f>
        <v>8</v>
      </c>
      <c r="F242" s="29" t="n">
        <f aca="false">INDEX(Sprint_Metrics!$F$7:$F$16,RANDBETWEEN(1,ROWS(Sprint_Metrics!$F$7:$F$16)))</f>
        <v>7</v>
      </c>
      <c r="G242" s="29" t="n">
        <f aca="false">INDEX(Sprint_Metrics!$F$7:$F$16,RANDBETWEEN(1,ROWS(Sprint_Metrics!$F$7:$F$16)))</f>
        <v>11</v>
      </c>
      <c r="H242" s="29" t="n">
        <f aca="false">INDEX(Sprint_Metrics!$F$7:$F$16,RANDBETWEEN(1,ROWS(Sprint_Metrics!$F$7:$F$16)))</f>
        <v>12</v>
      </c>
      <c r="I242" s="29" t="n">
        <f aca="false">INDEX(Sprint_Metrics!$F$7:$F$16,RANDBETWEEN(1,ROWS(Sprint_Metrics!$F$7:$F$16)))</f>
        <v>9</v>
      </c>
      <c r="J242" s="29" t="n">
        <f aca="false">B242</f>
        <v>8</v>
      </c>
      <c r="K242" s="29" t="n">
        <f aca="false">J242+C242</f>
        <v>17</v>
      </c>
      <c r="L242" s="29" t="n">
        <f aca="false">K242+D242</f>
        <v>25</v>
      </c>
      <c r="M242" s="29" t="n">
        <f aca="false">L242+E242</f>
        <v>33</v>
      </c>
      <c r="N242" s="29" t="n">
        <f aca="false">M242+F242</f>
        <v>40</v>
      </c>
      <c r="O242" s="29" t="n">
        <f aca="false">N242+G242</f>
        <v>51</v>
      </c>
      <c r="P242" s="29" t="n">
        <f aca="false">O242+H242</f>
        <v>63</v>
      </c>
      <c r="Q242" s="29" t="n">
        <f aca="false">P242+I242</f>
        <v>72</v>
      </c>
    </row>
    <row r="243" customFormat="false" ht="15" hidden="false" customHeight="false" outlineLevel="0" collapsed="false">
      <c r="A243" s="29" t="n">
        <v>242</v>
      </c>
      <c r="B243" s="29" t="n">
        <f aca="false">INDEX(Sprint_Metrics!$F$7:$F$16,RANDBETWEEN(1,ROWS(Sprint_Metrics!$F$7:$F$16)))</f>
        <v>7</v>
      </c>
      <c r="C243" s="29" t="n">
        <f aca="false">INDEX(Sprint_Metrics!$F$7:$F$16,RANDBETWEEN(1,ROWS(Sprint_Metrics!$F$7:$F$16)))</f>
        <v>7</v>
      </c>
      <c r="D243" s="29" t="n">
        <f aca="false">INDEX(Sprint_Metrics!$F$7:$F$16,RANDBETWEEN(1,ROWS(Sprint_Metrics!$F$7:$F$16)))</f>
        <v>8</v>
      </c>
      <c r="E243" s="29" t="n">
        <f aca="false">INDEX(Sprint_Metrics!$F$7:$F$16,RANDBETWEEN(1,ROWS(Sprint_Metrics!$F$7:$F$16)))</f>
        <v>8</v>
      </c>
      <c r="F243" s="29" t="n">
        <f aca="false">INDEX(Sprint_Metrics!$F$7:$F$16,RANDBETWEEN(1,ROWS(Sprint_Metrics!$F$7:$F$16)))</f>
        <v>7</v>
      </c>
      <c r="G243" s="29" t="n">
        <f aca="false">INDEX(Sprint_Metrics!$F$7:$F$16,RANDBETWEEN(1,ROWS(Sprint_Metrics!$F$7:$F$16)))</f>
        <v>11</v>
      </c>
      <c r="H243" s="29" t="n">
        <f aca="false">INDEX(Sprint_Metrics!$F$7:$F$16,RANDBETWEEN(1,ROWS(Sprint_Metrics!$F$7:$F$16)))</f>
        <v>11</v>
      </c>
      <c r="I243" s="29" t="n">
        <f aca="false">INDEX(Sprint_Metrics!$F$7:$F$16,RANDBETWEEN(1,ROWS(Sprint_Metrics!$F$7:$F$16)))</f>
        <v>8</v>
      </c>
      <c r="J243" s="29" t="n">
        <f aca="false">B243</f>
        <v>7</v>
      </c>
      <c r="K243" s="29" t="n">
        <f aca="false">J243+C243</f>
        <v>14</v>
      </c>
      <c r="L243" s="29" t="n">
        <f aca="false">K243+D243</f>
        <v>22</v>
      </c>
      <c r="M243" s="29" t="n">
        <f aca="false">L243+E243</f>
        <v>30</v>
      </c>
      <c r="N243" s="29" t="n">
        <f aca="false">M243+F243</f>
        <v>37</v>
      </c>
      <c r="O243" s="29" t="n">
        <f aca="false">N243+G243</f>
        <v>48</v>
      </c>
      <c r="P243" s="29" t="n">
        <f aca="false">O243+H243</f>
        <v>59</v>
      </c>
      <c r="Q243" s="29" t="n">
        <f aca="false">P243+I243</f>
        <v>67</v>
      </c>
    </row>
    <row r="244" customFormat="false" ht="15" hidden="false" customHeight="false" outlineLevel="0" collapsed="false">
      <c r="A244" s="29" t="n">
        <v>243</v>
      </c>
      <c r="B244" s="29" t="n">
        <f aca="false">INDEX(Sprint_Metrics!$F$7:$F$16,RANDBETWEEN(1,ROWS(Sprint_Metrics!$F$7:$F$16)))</f>
        <v>9</v>
      </c>
      <c r="C244" s="29" t="n">
        <f aca="false">INDEX(Sprint_Metrics!$F$7:$F$16,RANDBETWEEN(1,ROWS(Sprint_Metrics!$F$7:$F$16)))</f>
        <v>12</v>
      </c>
      <c r="D244" s="29" t="n">
        <f aca="false">INDEX(Sprint_Metrics!$F$7:$F$16,RANDBETWEEN(1,ROWS(Sprint_Metrics!$F$7:$F$16)))</f>
        <v>11</v>
      </c>
      <c r="E244" s="29" t="n">
        <f aca="false">INDEX(Sprint_Metrics!$F$7:$F$16,RANDBETWEEN(1,ROWS(Sprint_Metrics!$F$7:$F$16)))</f>
        <v>12</v>
      </c>
      <c r="F244" s="29" t="n">
        <f aca="false">INDEX(Sprint_Metrics!$F$7:$F$16,RANDBETWEEN(1,ROWS(Sprint_Metrics!$F$7:$F$16)))</f>
        <v>8</v>
      </c>
      <c r="G244" s="29" t="n">
        <f aca="false">INDEX(Sprint_Metrics!$F$7:$F$16,RANDBETWEEN(1,ROWS(Sprint_Metrics!$F$7:$F$16)))</f>
        <v>7</v>
      </c>
      <c r="H244" s="29" t="n">
        <f aca="false">INDEX(Sprint_Metrics!$F$7:$F$16,RANDBETWEEN(1,ROWS(Sprint_Metrics!$F$7:$F$16)))</f>
        <v>12</v>
      </c>
      <c r="I244" s="29" t="n">
        <f aca="false">INDEX(Sprint_Metrics!$F$7:$F$16,RANDBETWEEN(1,ROWS(Sprint_Metrics!$F$7:$F$16)))</f>
        <v>9</v>
      </c>
      <c r="J244" s="29" t="n">
        <f aca="false">B244</f>
        <v>9</v>
      </c>
      <c r="K244" s="29" t="n">
        <f aca="false">J244+C244</f>
        <v>21</v>
      </c>
      <c r="L244" s="29" t="n">
        <f aca="false">K244+D244</f>
        <v>32</v>
      </c>
      <c r="M244" s="29" t="n">
        <f aca="false">L244+E244</f>
        <v>44</v>
      </c>
      <c r="N244" s="29" t="n">
        <f aca="false">M244+F244</f>
        <v>52</v>
      </c>
      <c r="O244" s="29" t="n">
        <f aca="false">N244+G244</f>
        <v>59</v>
      </c>
      <c r="P244" s="29" t="n">
        <f aca="false">O244+H244</f>
        <v>71</v>
      </c>
      <c r="Q244" s="29" t="n">
        <f aca="false">P244+I244</f>
        <v>80</v>
      </c>
    </row>
    <row r="245" customFormat="false" ht="15" hidden="false" customHeight="false" outlineLevel="0" collapsed="false">
      <c r="A245" s="29" t="n">
        <v>244</v>
      </c>
      <c r="B245" s="29" t="n">
        <f aca="false">INDEX(Sprint_Metrics!$F$7:$F$16,RANDBETWEEN(1,ROWS(Sprint_Metrics!$F$7:$F$16)))</f>
        <v>7</v>
      </c>
      <c r="C245" s="29" t="n">
        <f aca="false">INDEX(Sprint_Metrics!$F$7:$F$16,RANDBETWEEN(1,ROWS(Sprint_Metrics!$F$7:$F$16)))</f>
        <v>8</v>
      </c>
      <c r="D245" s="29" t="n">
        <f aca="false">INDEX(Sprint_Metrics!$F$7:$F$16,RANDBETWEEN(1,ROWS(Sprint_Metrics!$F$7:$F$16)))</f>
        <v>12</v>
      </c>
      <c r="E245" s="29" t="n">
        <f aca="false">INDEX(Sprint_Metrics!$F$7:$F$16,RANDBETWEEN(1,ROWS(Sprint_Metrics!$F$7:$F$16)))</f>
        <v>11</v>
      </c>
      <c r="F245" s="29" t="n">
        <f aca="false">INDEX(Sprint_Metrics!$F$7:$F$16,RANDBETWEEN(1,ROWS(Sprint_Metrics!$F$7:$F$16)))</f>
        <v>12</v>
      </c>
      <c r="G245" s="29" t="n">
        <f aca="false">INDEX(Sprint_Metrics!$F$7:$F$16,RANDBETWEEN(1,ROWS(Sprint_Metrics!$F$7:$F$16)))</f>
        <v>11</v>
      </c>
      <c r="H245" s="29" t="n">
        <f aca="false">INDEX(Sprint_Metrics!$F$7:$F$16,RANDBETWEEN(1,ROWS(Sprint_Metrics!$F$7:$F$16)))</f>
        <v>12</v>
      </c>
      <c r="I245" s="29" t="n">
        <f aca="false">INDEX(Sprint_Metrics!$F$7:$F$16,RANDBETWEEN(1,ROWS(Sprint_Metrics!$F$7:$F$16)))</f>
        <v>8</v>
      </c>
      <c r="J245" s="29" t="n">
        <f aca="false">B245</f>
        <v>7</v>
      </c>
      <c r="K245" s="29" t="n">
        <f aca="false">J245+C245</f>
        <v>15</v>
      </c>
      <c r="L245" s="29" t="n">
        <f aca="false">K245+D245</f>
        <v>27</v>
      </c>
      <c r="M245" s="29" t="n">
        <f aca="false">L245+E245</f>
        <v>38</v>
      </c>
      <c r="N245" s="29" t="n">
        <f aca="false">M245+F245</f>
        <v>50</v>
      </c>
      <c r="O245" s="29" t="n">
        <f aca="false">N245+G245</f>
        <v>61</v>
      </c>
      <c r="P245" s="29" t="n">
        <f aca="false">O245+H245</f>
        <v>73</v>
      </c>
      <c r="Q245" s="29" t="n">
        <f aca="false">P245+I245</f>
        <v>81</v>
      </c>
    </row>
    <row r="246" customFormat="false" ht="15" hidden="false" customHeight="false" outlineLevel="0" collapsed="false">
      <c r="A246" s="29" t="n">
        <v>245</v>
      </c>
      <c r="B246" s="29" t="n">
        <f aca="false">INDEX(Sprint_Metrics!$F$7:$F$16,RANDBETWEEN(1,ROWS(Sprint_Metrics!$F$7:$F$16)))</f>
        <v>9</v>
      </c>
      <c r="C246" s="29" t="n">
        <f aca="false">INDEX(Sprint_Metrics!$F$7:$F$16,RANDBETWEEN(1,ROWS(Sprint_Metrics!$F$7:$F$16)))</f>
        <v>7</v>
      </c>
      <c r="D246" s="29" t="n">
        <f aca="false">INDEX(Sprint_Metrics!$F$7:$F$16,RANDBETWEEN(1,ROWS(Sprint_Metrics!$F$7:$F$16)))</f>
        <v>8</v>
      </c>
      <c r="E246" s="29" t="n">
        <f aca="false">INDEX(Sprint_Metrics!$F$7:$F$16,RANDBETWEEN(1,ROWS(Sprint_Metrics!$F$7:$F$16)))</f>
        <v>12</v>
      </c>
      <c r="F246" s="29" t="n">
        <f aca="false">INDEX(Sprint_Metrics!$F$7:$F$16,RANDBETWEEN(1,ROWS(Sprint_Metrics!$F$7:$F$16)))</f>
        <v>11</v>
      </c>
      <c r="G246" s="29" t="n">
        <f aca="false">INDEX(Sprint_Metrics!$F$7:$F$16,RANDBETWEEN(1,ROWS(Sprint_Metrics!$F$7:$F$16)))</f>
        <v>7</v>
      </c>
      <c r="H246" s="29" t="n">
        <f aca="false">INDEX(Sprint_Metrics!$F$7:$F$16,RANDBETWEEN(1,ROWS(Sprint_Metrics!$F$7:$F$16)))</f>
        <v>7</v>
      </c>
      <c r="I246" s="29" t="n">
        <f aca="false">INDEX(Sprint_Metrics!$F$7:$F$16,RANDBETWEEN(1,ROWS(Sprint_Metrics!$F$7:$F$16)))</f>
        <v>8</v>
      </c>
      <c r="J246" s="29" t="n">
        <f aca="false">B246</f>
        <v>9</v>
      </c>
      <c r="K246" s="29" t="n">
        <f aca="false">J246+C246</f>
        <v>16</v>
      </c>
      <c r="L246" s="29" t="n">
        <f aca="false">K246+D246</f>
        <v>24</v>
      </c>
      <c r="M246" s="29" t="n">
        <f aca="false">L246+E246</f>
        <v>36</v>
      </c>
      <c r="N246" s="29" t="n">
        <f aca="false">M246+F246</f>
        <v>47</v>
      </c>
      <c r="O246" s="29" t="n">
        <f aca="false">N246+G246</f>
        <v>54</v>
      </c>
      <c r="P246" s="29" t="n">
        <f aca="false">O246+H246</f>
        <v>61</v>
      </c>
      <c r="Q246" s="29" t="n">
        <f aca="false">P246+I246</f>
        <v>69</v>
      </c>
    </row>
    <row r="247" customFormat="false" ht="15" hidden="false" customHeight="false" outlineLevel="0" collapsed="false">
      <c r="A247" s="29" t="n">
        <v>246</v>
      </c>
      <c r="B247" s="29" t="n">
        <f aca="false">INDEX(Sprint_Metrics!$F$7:$F$16,RANDBETWEEN(1,ROWS(Sprint_Metrics!$F$7:$F$16)))</f>
        <v>8</v>
      </c>
      <c r="C247" s="29" t="n">
        <f aca="false">INDEX(Sprint_Metrics!$F$7:$F$16,RANDBETWEEN(1,ROWS(Sprint_Metrics!$F$7:$F$16)))</f>
        <v>8</v>
      </c>
      <c r="D247" s="29" t="n">
        <f aca="false">INDEX(Sprint_Metrics!$F$7:$F$16,RANDBETWEEN(1,ROWS(Sprint_Metrics!$F$7:$F$16)))</f>
        <v>8</v>
      </c>
      <c r="E247" s="29" t="n">
        <f aca="false">INDEX(Sprint_Metrics!$F$7:$F$16,RANDBETWEEN(1,ROWS(Sprint_Metrics!$F$7:$F$16)))</f>
        <v>7</v>
      </c>
      <c r="F247" s="29" t="n">
        <f aca="false">INDEX(Sprint_Metrics!$F$7:$F$16,RANDBETWEEN(1,ROWS(Sprint_Metrics!$F$7:$F$16)))</f>
        <v>7</v>
      </c>
      <c r="G247" s="29" t="n">
        <f aca="false">INDEX(Sprint_Metrics!$F$7:$F$16,RANDBETWEEN(1,ROWS(Sprint_Metrics!$F$7:$F$16)))</f>
        <v>9</v>
      </c>
      <c r="H247" s="29" t="n">
        <f aca="false">INDEX(Sprint_Metrics!$F$7:$F$16,RANDBETWEEN(1,ROWS(Sprint_Metrics!$F$7:$F$16)))</f>
        <v>12</v>
      </c>
      <c r="I247" s="29" t="n">
        <f aca="false">INDEX(Sprint_Metrics!$F$7:$F$16,RANDBETWEEN(1,ROWS(Sprint_Metrics!$F$7:$F$16)))</f>
        <v>11</v>
      </c>
      <c r="J247" s="29" t="n">
        <f aca="false">B247</f>
        <v>8</v>
      </c>
      <c r="K247" s="29" t="n">
        <f aca="false">J247+C247</f>
        <v>16</v>
      </c>
      <c r="L247" s="29" t="n">
        <f aca="false">K247+D247</f>
        <v>24</v>
      </c>
      <c r="M247" s="29" t="n">
        <f aca="false">L247+E247</f>
        <v>31</v>
      </c>
      <c r="N247" s="29" t="n">
        <f aca="false">M247+F247</f>
        <v>38</v>
      </c>
      <c r="O247" s="29" t="n">
        <f aca="false">N247+G247</f>
        <v>47</v>
      </c>
      <c r="P247" s="29" t="n">
        <f aca="false">O247+H247</f>
        <v>59</v>
      </c>
      <c r="Q247" s="29" t="n">
        <f aca="false">P247+I247</f>
        <v>70</v>
      </c>
    </row>
    <row r="248" customFormat="false" ht="15" hidden="false" customHeight="false" outlineLevel="0" collapsed="false">
      <c r="A248" s="29" t="n">
        <v>247</v>
      </c>
      <c r="B248" s="29" t="n">
        <f aca="false">INDEX(Sprint_Metrics!$F$7:$F$16,RANDBETWEEN(1,ROWS(Sprint_Metrics!$F$7:$F$16)))</f>
        <v>8</v>
      </c>
      <c r="C248" s="29" t="n">
        <f aca="false">INDEX(Sprint_Metrics!$F$7:$F$16,RANDBETWEEN(1,ROWS(Sprint_Metrics!$F$7:$F$16)))</f>
        <v>8</v>
      </c>
      <c r="D248" s="29" t="n">
        <f aca="false">INDEX(Sprint_Metrics!$F$7:$F$16,RANDBETWEEN(1,ROWS(Sprint_Metrics!$F$7:$F$16)))</f>
        <v>8</v>
      </c>
      <c r="E248" s="29" t="n">
        <f aca="false">INDEX(Sprint_Metrics!$F$7:$F$16,RANDBETWEEN(1,ROWS(Sprint_Metrics!$F$7:$F$16)))</f>
        <v>7</v>
      </c>
      <c r="F248" s="29" t="n">
        <f aca="false">INDEX(Sprint_Metrics!$F$7:$F$16,RANDBETWEEN(1,ROWS(Sprint_Metrics!$F$7:$F$16)))</f>
        <v>8</v>
      </c>
      <c r="G248" s="29" t="n">
        <f aca="false">INDEX(Sprint_Metrics!$F$7:$F$16,RANDBETWEEN(1,ROWS(Sprint_Metrics!$F$7:$F$16)))</f>
        <v>11</v>
      </c>
      <c r="H248" s="29" t="n">
        <f aca="false">INDEX(Sprint_Metrics!$F$7:$F$16,RANDBETWEEN(1,ROWS(Sprint_Metrics!$F$7:$F$16)))</f>
        <v>9</v>
      </c>
      <c r="I248" s="29" t="n">
        <f aca="false">INDEX(Sprint_Metrics!$F$7:$F$16,RANDBETWEEN(1,ROWS(Sprint_Metrics!$F$7:$F$16)))</f>
        <v>7</v>
      </c>
      <c r="J248" s="29" t="n">
        <f aca="false">B248</f>
        <v>8</v>
      </c>
      <c r="K248" s="29" t="n">
        <f aca="false">J248+C248</f>
        <v>16</v>
      </c>
      <c r="L248" s="29" t="n">
        <f aca="false">K248+D248</f>
        <v>24</v>
      </c>
      <c r="M248" s="29" t="n">
        <f aca="false">L248+E248</f>
        <v>31</v>
      </c>
      <c r="N248" s="29" t="n">
        <f aca="false">M248+F248</f>
        <v>39</v>
      </c>
      <c r="O248" s="29" t="n">
        <f aca="false">N248+G248</f>
        <v>50</v>
      </c>
      <c r="P248" s="29" t="n">
        <f aca="false">O248+H248</f>
        <v>59</v>
      </c>
      <c r="Q248" s="29" t="n">
        <f aca="false">P248+I248</f>
        <v>66</v>
      </c>
    </row>
    <row r="249" customFormat="false" ht="15" hidden="false" customHeight="false" outlineLevel="0" collapsed="false">
      <c r="A249" s="29" t="n">
        <v>248</v>
      </c>
      <c r="B249" s="29" t="n">
        <f aca="false">INDEX(Sprint_Metrics!$F$7:$F$16,RANDBETWEEN(1,ROWS(Sprint_Metrics!$F$7:$F$16)))</f>
        <v>9</v>
      </c>
      <c r="C249" s="29" t="n">
        <f aca="false">INDEX(Sprint_Metrics!$F$7:$F$16,RANDBETWEEN(1,ROWS(Sprint_Metrics!$F$7:$F$16)))</f>
        <v>8</v>
      </c>
      <c r="D249" s="29" t="n">
        <f aca="false">INDEX(Sprint_Metrics!$F$7:$F$16,RANDBETWEEN(1,ROWS(Sprint_Metrics!$F$7:$F$16)))</f>
        <v>8</v>
      </c>
      <c r="E249" s="29" t="n">
        <f aca="false">INDEX(Sprint_Metrics!$F$7:$F$16,RANDBETWEEN(1,ROWS(Sprint_Metrics!$F$7:$F$16)))</f>
        <v>11</v>
      </c>
      <c r="F249" s="29" t="n">
        <f aca="false">INDEX(Sprint_Metrics!$F$7:$F$16,RANDBETWEEN(1,ROWS(Sprint_Metrics!$F$7:$F$16)))</f>
        <v>9</v>
      </c>
      <c r="G249" s="29" t="n">
        <f aca="false">INDEX(Sprint_Metrics!$F$7:$F$16,RANDBETWEEN(1,ROWS(Sprint_Metrics!$F$7:$F$16)))</f>
        <v>8</v>
      </c>
      <c r="H249" s="29" t="n">
        <f aca="false">INDEX(Sprint_Metrics!$F$7:$F$16,RANDBETWEEN(1,ROWS(Sprint_Metrics!$F$7:$F$16)))</f>
        <v>11</v>
      </c>
      <c r="I249" s="29" t="n">
        <f aca="false">INDEX(Sprint_Metrics!$F$7:$F$16,RANDBETWEEN(1,ROWS(Sprint_Metrics!$F$7:$F$16)))</f>
        <v>7</v>
      </c>
      <c r="J249" s="29" t="n">
        <f aca="false">B249</f>
        <v>9</v>
      </c>
      <c r="K249" s="29" t="n">
        <f aca="false">J249+C249</f>
        <v>17</v>
      </c>
      <c r="L249" s="29" t="n">
        <f aca="false">K249+D249</f>
        <v>25</v>
      </c>
      <c r="M249" s="29" t="n">
        <f aca="false">L249+E249</f>
        <v>36</v>
      </c>
      <c r="N249" s="29" t="n">
        <f aca="false">M249+F249</f>
        <v>45</v>
      </c>
      <c r="O249" s="29" t="n">
        <f aca="false">N249+G249</f>
        <v>53</v>
      </c>
      <c r="P249" s="29" t="n">
        <f aca="false">O249+H249</f>
        <v>64</v>
      </c>
      <c r="Q249" s="29" t="n">
        <f aca="false">P249+I249</f>
        <v>71</v>
      </c>
    </row>
    <row r="250" customFormat="false" ht="15" hidden="false" customHeight="false" outlineLevel="0" collapsed="false">
      <c r="A250" s="29" t="n">
        <v>249</v>
      </c>
      <c r="B250" s="29" t="n">
        <f aca="false">INDEX(Sprint_Metrics!$F$7:$F$16,RANDBETWEEN(1,ROWS(Sprint_Metrics!$F$7:$F$16)))</f>
        <v>9</v>
      </c>
      <c r="C250" s="29" t="n">
        <f aca="false">INDEX(Sprint_Metrics!$F$7:$F$16,RANDBETWEEN(1,ROWS(Sprint_Metrics!$F$7:$F$16)))</f>
        <v>9</v>
      </c>
      <c r="D250" s="29" t="n">
        <f aca="false">INDEX(Sprint_Metrics!$F$7:$F$16,RANDBETWEEN(1,ROWS(Sprint_Metrics!$F$7:$F$16)))</f>
        <v>8</v>
      </c>
      <c r="E250" s="29" t="n">
        <f aca="false">INDEX(Sprint_Metrics!$F$7:$F$16,RANDBETWEEN(1,ROWS(Sprint_Metrics!$F$7:$F$16)))</f>
        <v>12</v>
      </c>
      <c r="F250" s="29" t="n">
        <f aca="false">INDEX(Sprint_Metrics!$F$7:$F$16,RANDBETWEEN(1,ROWS(Sprint_Metrics!$F$7:$F$16)))</f>
        <v>9</v>
      </c>
      <c r="G250" s="29" t="n">
        <f aca="false">INDEX(Sprint_Metrics!$F$7:$F$16,RANDBETWEEN(1,ROWS(Sprint_Metrics!$F$7:$F$16)))</f>
        <v>8</v>
      </c>
      <c r="H250" s="29" t="n">
        <f aca="false">INDEX(Sprint_Metrics!$F$7:$F$16,RANDBETWEEN(1,ROWS(Sprint_Metrics!$F$7:$F$16)))</f>
        <v>9</v>
      </c>
      <c r="I250" s="29" t="n">
        <f aca="false">INDEX(Sprint_Metrics!$F$7:$F$16,RANDBETWEEN(1,ROWS(Sprint_Metrics!$F$7:$F$16)))</f>
        <v>8</v>
      </c>
      <c r="J250" s="29" t="n">
        <f aca="false">B250</f>
        <v>9</v>
      </c>
      <c r="K250" s="29" t="n">
        <f aca="false">J250+C250</f>
        <v>18</v>
      </c>
      <c r="L250" s="29" t="n">
        <f aca="false">K250+D250</f>
        <v>26</v>
      </c>
      <c r="M250" s="29" t="n">
        <f aca="false">L250+E250</f>
        <v>38</v>
      </c>
      <c r="N250" s="29" t="n">
        <f aca="false">M250+F250</f>
        <v>47</v>
      </c>
      <c r="O250" s="29" t="n">
        <f aca="false">N250+G250</f>
        <v>55</v>
      </c>
      <c r="P250" s="29" t="n">
        <f aca="false">O250+H250</f>
        <v>64</v>
      </c>
      <c r="Q250" s="29" t="n">
        <f aca="false">P250+I250</f>
        <v>72</v>
      </c>
    </row>
    <row r="251" customFormat="false" ht="15" hidden="false" customHeight="false" outlineLevel="0" collapsed="false">
      <c r="A251" s="29" t="n">
        <v>250</v>
      </c>
      <c r="B251" s="29" t="n">
        <f aca="false">INDEX(Sprint_Metrics!$F$7:$F$16,RANDBETWEEN(1,ROWS(Sprint_Metrics!$F$7:$F$16)))</f>
        <v>11</v>
      </c>
      <c r="C251" s="29" t="n">
        <f aca="false">INDEX(Sprint_Metrics!$F$7:$F$16,RANDBETWEEN(1,ROWS(Sprint_Metrics!$F$7:$F$16)))</f>
        <v>7</v>
      </c>
      <c r="D251" s="29" t="n">
        <f aca="false">INDEX(Sprint_Metrics!$F$7:$F$16,RANDBETWEEN(1,ROWS(Sprint_Metrics!$F$7:$F$16)))</f>
        <v>9</v>
      </c>
      <c r="E251" s="29" t="n">
        <f aca="false">INDEX(Sprint_Metrics!$F$7:$F$16,RANDBETWEEN(1,ROWS(Sprint_Metrics!$F$7:$F$16)))</f>
        <v>9</v>
      </c>
      <c r="F251" s="29" t="n">
        <f aca="false">INDEX(Sprint_Metrics!$F$7:$F$16,RANDBETWEEN(1,ROWS(Sprint_Metrics!$F$7:$F$16)))</f>
        <v>7</v>
      </c>
      <c r="G251" s="29" t="n">
        <f aca="false">INDEX(Sprint_Metrics!$F$7:$F$16,RANDBETWEEN(1,ROWS(Sprint_Metrics!$F$7:$F$16)))</f>
        <v>8</v>
      </c>
      <c r="H251" s="29" t="n">
        <f aca="false">INDEX(Sprint_Metrics!$F$7:$F$16,RANDBETWEEN(1,ROWS(Sprint_Metrics!$F$7:$F$16)))</f>
        <v>7</v>
      </c>
      <c r="I251" s="29" t="n">
        <f aca="false">INDEX(Sprint_Metrics!$F$7:$F$16,RANDBETWEEN(1,ROWS(Sprint_Metrics!$F$7:$F$16)))</f>
        <v>8</v>
      </c>
      <c r="J251" s="29" t="n">
        <f aca="false">B251</f>
        <v>11</v>
      </c>
      <c r="K251" s="29" t="n">
        <f aca="false">J251+C251</f>
        <v>18</v>
      </c>
      <c r="L251" s="29" t="n">
        <f aca="false">K251+D251</f>
        <v>27</v>
      </c>
      <c r="M251" s="29" t="n">
        <f aca="false">L251+E251</f>
        <v>36</v>
      </c>
      <c r="N251" s="29" t="n">
        <f aca="false">M251+F251</f>
        <v>43</v>
      </c>
      <c r="O251" s="29" t="n">
        <f aca="false">N251+G251</f>
        <v>51</v>
      </c>
      <c r="P251" s="29" t="n">
        <f aca="false">O251+H251</f>
        <v>58</v>
      </c>
      <c r="Q251" s="29" t="n">
        <f aca="false">P251+I251</f>
        <v>66</v>
      </c>
    </row>
    <row r="252" customFormat="false" ht="15" hidden="false" customHeight="false" outlineLevel="0" collapsed="false">
      <c r="A252" s="29" t="n">
        <v>251</v>
      </c>
      <c r="B252" s="29" t="n">
        <f aca="false">INDEX(Sprint_Metrics!$F$7:$F$16,RANDBETWEEN(1,ROWS(Sprint_Metrics!$F$7:$F$16)))</f>
        <v>7</v>
      </c>
      <c r="C252" s="29" t="n">
        <f aca="false">INDEX(Sprint_Metrics!$F$7:$F$16,RANDBETWEEN(1,ROWS(Sprint_Metrics!$F$7:$F$16)))</f>
        <v>9</v>
      </c>
      <c r="D252" s="29" t="n">
        <f aca="false">INDEX(Sprint_Metrics!$F$7:$F$16,RANDBETWEEN(1,ROWS(Sprint_Metrics!$F$7:$F$16)))</f>
        <v>8</v>
      </c>
      <c r="E252" s="29" t="n">
        <f aca="false">INDEX(Sprint_Metrics!$F$7:$F$16,RANDBETWEEN(1,ROWS(Sprint_Metrics!$F$7:$F$16)))</f>
        <v>11</v>
      </c>
      <c r="F252" s="29" t="n">
        <f aca="false">INDEX(Sprint_Metrics!$F$7:$F$16,RANDBETWEEN(1,ROWS(Sprint_Metrics!$F$7:$F$16)))</f>
        <v>9</v>
      </c>
      <c r="G252" s="29" t="n">
        <f aca="false">INDEX(Sprint_Metrics!$F$7:$F$16,RANDBETWEEN(1,ROWS(Sprint_Metrics!$F$7:$F$16)))</f>
        <v>7</v>
      </c>
      <c r="H252" s="29" t="n">
        <f aca="false">INDEX(Sprint_Metrics!$F$7:$F$16,RANDBETWEEN(1,ROWS(Sprint_Metrics!$F$7:$F$16)))</f>
        <v>7</v>
      </c>
      <c r="I252" s="29" t="n">
        <f aca="false">INDEX(Sprint_Metrics!$F$7:$F$16,RANDBETWEEN(1,ROWS(Sprint_Metrics!$F$7:$F$16)))</f>
        <v>12</v>
      </c>
      <c r="J252" s="29" t="n">
        <f aca="false">B252</f>
        <v>7</v>
      </c>
      <c r="K252" s="29" t="n">
        <f aca="false">J252+C252</f>
        <v>16</v>
      </c>
      <c r="L252" s="29" t="n">
        <f aca="false">K252+D252</f>
        <v>24</v>
      </c>
      <c r="M252" s="29" t="n">
        <f aca="false">L252+E252</f>
        <v>35</v>
      </c>
      <c r="N252" s="29" t="n">
        <f aca="false">M252+F252</f>
        <v>44</v>
      </c>
      <c r="O252" s="29" t="n">
        <f aca="false">N252+G252</f>
        <v>51</v>
      </c>
      <c r="P252" s="29" t="n">
        <f aca="false">O252+H252</f>
        <v>58</v>
      </c>
      <c r="Q252" s="29" t="n">
        <f aca="false">P252+I252</f>
        <v>70</v>
      </c>
    </row>
    <row r="253" customFormat="false" ht="15" hidden="false" customHeight="false" outlineLevel="0" collapsed="false">
      <c r="A253" s="29" t="n">
        <v>252</v>
      </c>
      <c r="B253" s="29" t="n">
        <f aca="false">INDEX(Sprint_Metrics!$F$7:$F$16,RANDBETWEEN(1,ROWS(Sprint_Metrics!$F$7:$F$16)))</f>
        <v>9</v>
      </c>
      <c r="C253" s="29" t="n">
        <f aca="false">INDEX(Sprint_Metrics!$F$7:$F$16,RANDBETWEEN(1,ROWS(Sprint_Metrics!$F$7:$F$16)))</f>
        <v>11</v>
      </c>
      <c r="D253" s="29" t="n">
        <f aca="false">INDEX(Sprint_Metrics!$F$7:$F$16,RANDBETWEEN(1,ROWS(Sprint_Metrics!$F$7:$F$16)))</f>
        <v>9</v>
      </c>
      <c r="E253" s="29" t="n">
        <f aca="false">INDEX(Sprint_Metrics!$F$7:$F$16,RANDBETWEEN(1,ROWS(Sprint_Metrics!$F$7:$F$16)))</f>
        <v>7</v>
      </c>
      <c r="F253" s="29" t="n">
        <f aca="false">INDEX(Sprint_Metrics!$F$7:$F$16,RANDBETWEEN(1,ROWS(Sprint_Metrics!$F$7:$F$16)))</f>
        <v>12</v>
      </c>
      <c r="G253" s="29" t="n">
        <f aca="false">INDEX(Sprint_Metrics!$F$7:$F$16,RANDBETWEEN(1,ROWS(Sprint_Metrics!$F$7:$F$16)))</f>
        <v>9</v>
      </c>
      <c r="H253" s="29" t="n">
        <f aca="false">INDEX(Sprint_Metrics!$F$7:$F$16,RANDBETWEEN(1,ROWS(Sprint_Metrics!$F$7:$F$16)))</f>
        <v>9</v>
      </c>
      <c r="I253" s="29" t="n">
        <f aca="false">INDEX(Sprint_Metrics!$F$7:$F$16,RANDBETWEEN(1,ROWS(Sprint_Metrics!$F$7:$F$16)))</f>
        <v>8</v>
      </c>
      <c r="J253" s="29" t="n">
        <f aca="false">B253</f>
        <v>9</v>
      </c>
      <c r="K253" s="29" t="n">
        <f aca="false">J253+C253</f>
        <v>20</v>
      </c>
      <c r="L253" s="29" t="n">
        <f aca="false">K253+D253</f>
        <v>29</v>
      </c>
      <c r="M253" s="29" t="n">
        <f aca="false">L253+E253</f>
        <v>36</v>
      </c>
      <c r="N253" s="29" t="n">
        <f aca="false">M253+F253</f>
        <v>48</v>
      </c>
      <c r="O253" s="29" t="n">
        <f aca="false">N253+G253</f>
        <v>57</v>
      </c>
      <c r="P253" s="29" t="n">
        <f aca="false">O253+H253</f>
        <v>66</v>
      </c>
      <c r="Q253" s="29" t="n">
        <f aca="false">P253+I253</f>
        <v>74</v>
      </c>
    </row>
    <row r="254" customFormat="false" ht="15" hidden="false" customHeight="false" outlineLevel="0" collapsed="false">
      <c r="A254" s="29" t="n">
        <v>253</v>
      </c>
      <c r="B254" s="29" t="n">
        <f aca="false">INDEX(Sprint_Metrics!$F$7:$F$16,RANDBETWEEN(1,ROWS(Sprint_Metrics!$F$7:$F$16)))</f>
        <v>9</v>
      </c>
      <c r="C254" s="29" t="n">
        <f aca="false">INDEX(Sprint_Metrics!$F$7:$F$16,RANDBETWEEN(1,ROWS(Sprint_Metrics!$F$7:$F$16)))</f>
        <v>8</v>
      </c>
      <c r="D254" s="29" t="n">
        <f aca="false">INDEX(Sprint_Metrics!$F$7:$F$16,RANDBETWEEN(1,ROWS(Sprint_Metrics!$F$7:$F$16)))</f>
        <v>7</v>
      </c>
      <c r="E254" s="29" t="n">
        <f aca="false">INDEX(Sprint_Metrics!$F$7:$F$16,RANDBETWEEN(1,ROWS(Sprint_Metrics!$F$7:$F$16)))</f>
        <v>7</v>
      </c>
      <c r="F254" s="29" t="n">
        <f aca="false">INDEX(Sprint_Metrics!$F$7:$F$16,RANDBETWEEN(1,ROWS(Sprint_Metrics!$F$7:$F$16)))</f>
        <v>7</v>
      </c>
      <c r="G254" s="29" t="n">
        <f aca="false">INDEX(Sprint_Metrics!$F$7:$F$16,RANDBETWEEN(1,ROWS(Sprint_Metrics!$F$7:$F$16)))</f>
        <v>7</v>
      </c>
      <c r="H254" s="29" t="n">
        <f aca="false">INDEX(Sprint_Metrics!$F$7:$F$16,RANDBETWEEN(1,ROWS(Sprint_Metrics!$F$7:$F$16)))</f>
        <v>11</v>
      </c>
      <c r="I254" s="29" t="n">
        <f aca="false">INDEX(Sprint_Metrics!$F$7:$F$16,RANDBETWEEN(1,ROWS(Sprint_Metrics!$F$7:$F$16)))</f>
        <v>7</v>
      </c>
      <c r="J254" s="29" t="n">
        <f aca="false">B254</f>
        <v>9</v>
      </c>
      <c r="K254" s="29" t="n">
        <f aca="false">J254+C254</f>
        <v>17</v>
      </c>
      <c r="L254" s="29" t="n">
        <f aca="false">K254+D254</f>
        <v>24</v>
      </c>
      <c r="M254" s="29" t="n">
        <f aca="false">L254+E254</f>
        <v>31</v>
      </c>
      <c r="N254" s="29" t="n">
        <f aca="false">M254+F254</f>
        <v>38</v>
      </c>
      <c r="O254" s="29" t="n">
        <f aca="false">N254+G254</f>
        <v>45</v>
      </c>
      <c r="P254" s="29" t="n">
        <f aca="false">O254+H254</f>
        <v>56</v>
      </c>
      <c r="Q254" s="29" t="n">
        <f aca="false">P254+I254</f>
        <v>63</v>
      </c>
    </row>
    <row r="255" customFormat="false" ht="15" hidden="false" customHeight="false" outlineLevel="0" collapsed="false">
      <c r="A255" s="29" t="n">
        <v>254</v>
      </c>
      <c r="B255" s="29" t="n">
        <f aca="false">INDEX(Sprint_Metrics!$F$7:$F$16,RANDBETWEEN(1,ROWS(Sprint_Metrics!$F$7:$F$16)))</f>
        <v>7</v>
      </c>
      <c r="C255" s="29" t="n">
        <f aca="false">INDEX(Sprint_Metrics!$F$7:$F$16,RANDBETWEEN(1,ROWS(Sprint_Metrics!$F$7:$F$16)))</f>
        <v>8</v>
      </c>
      <c r="D255" s="29" t="n">
        <f aca="false">INDEX(Sprint_Metrics!$F$7:$F$16,RANDBETWEEN(1,ROWS(Sprint_Metrics!$F$7:$F$16)))</f>
        <v>7</v>
      </c>
      <c r="E255" s="29" t="n">
        <f aca="false">INDEX(Sprint_Metrics!$F$7:$F$16,RANDBETWEEN(1,ROWS(Sprint_Metrics!$F$7:$F$16)))</f>
        <v>11</v>
      </c>
      <c r="F255" s="29" t="n">
        <f aca="false">INDEX(Sprint_Metrics!$F$7:$F$16,RANDBETWEEN(1,ROWS(Sprint_Metrics!$F$7:$F$16)))</f>
        <v>8</v>
      </c>
      <c r="G255" s="29" t="n">
        <f aca="false">INDEX(Sprint_Metrics!$F$7:$F$16,RANDBETWEEN(1,ROWS(Sprint_Metrics!$F$7:$F$16)))</f>
        <v>8</v>
      </c>
      <c r="H255" s="29" t="n">
        <f aca="false">INDEX(Sprint_Metrics!$F$7:$F$16,RANDBETWEEN(1,ROWS(Sprint_Metrics!$F$7:$F$16)))</f>
        <v>7</v>
      </c>
      <c r="I255" s="29" t="n">
        <f aca="false">INDEX(Sprint_Metrics!$F$7:$F$16,RANDBETWEEN(1,ROWS(Sprint_Metrics!$F$7:$F$16)))</f>
        <v>8</v>
      </c>
      <c r="J255" s="29" t="n">
        <f aca="false">B255</f>
        <v>7</v>
      </c>
      <c r="K255" s="29" t="n">
        <f aca="false">J255+C255</f>
        <v>15</v>
      </c>
      <c r="L255" s="29" t="n">
        <f aca="false">K255+D255</f>
        <v>22</v>
      </c>
      <c r="M255" s="29" t="n">
        <f aca="false">L255+E255</f>
        <v>33</v>
      </c>
      <c r="N255" s="29" t="n">
        <f aca="false">M255+F255</f>
        <v>41</v>
      </c>
      <c r="O255" s="29" t="n">
        <f aca="false">N255+G255</f>
        <v>49</v>
      </c>
      <c r="P255" s="29" t="n">
        <f aca="false">O255+H255</f>
        <v>56</v>
      </c>
      <c r="Q255" s="29" t="n">
        <f aca="false">P255+I255</f>
        <v>64</v>
      </c>
    </row>
    <row r="256" customFormat="false" ht="15" hidden="false" customHeight="false" outlineLevel="0" collapsed="false">
      <c r="A256" s="29" t="n">
        <v>255</v>
      </c>
      <c r="B256" s="29" t="n">
        <f aca="false">INDEX(Sprint_Metrics!$F$7:$F$16,RANDBETWEEN(1,ROWS(Sprint_Metrics!$F$7:$F$16)))</f>
        <v>12</v>
      </c>
      <c r="C256" s="29" t="n">
        <f aca="false">INDEX(Sprint_Metrics!$F$7:$F$16,RANDBETWEEN(1,ROWS(Sprint_Metrics!$F$7:$F$16)))</f>
        <v>7</v>
      </c>
      <c r="D256" s="29" t="n">
        <f aca="false">INDEX(Sprint_Metrics!$F$7:$F$16,RANDBETWEEN(1,ROWS(Sprint_Metrics!$F$7:$F$16)))</f>
        <v>11</v>
      </c>
      <c r="E256" s="29" t="n">
        <f aca="false">INDEX(Sprint_Metrics!$F$7:$F$16,RANDBETWEEN(1,ROWS(Sprint_Metrics!$F$7:$F$16)))</f>
        <v>7</v>
      </c>
      <c r="F256" s="29" t="n">
        <f aca="false">INDEX(Sprint_Metrics!$F$7:$F$16,RANDBETWEEN(1,ROWS(Sprint_Metrics!$F$7:$F$16)))</f>
        <v>9</v>
      </c>
      <c r="G256" s="29" t="n">
        <f aca="false">INDEX(Sprint_Metrics!$F$7:$F$16,RANDBETWEEN(1,ROWS(Sprint_Metrics!$F$7:$F$16)))</f>
        <v>11</v>
      </c>
      <c r="H256" s="29" t="n">
        <f aca="false">INDEX(Sprint_Metrics!$F$7:$F$16,RANDBETWEEN(1,ROWS(Sprint_Metrics!$F$7:$F$16)))</f>
        <v>12</v>
      </c>
      <c r="I256" s="29" t="n">
        <f aca="false">INDEX(Sprint_Metrics!$F$7:$F$16,RANDBETWEEN(1,ROWS(Sprint_Metrics!$F$7:$F$16)))</f>
        <v>8</v>
      </c>
      <c r="J256" s="29" t="n">
        <f aca="false">B256</f>
        <v>12</v>
      </c>
      <c r="K256" s="29" t="n">
        <f aca="false">J256+C256</f>
        <v>19</v>
      </c>
      <c r="L256" s="29" t="n">
        <f aca="false">K256+D256</f>
        <v>30</v>
      </c>
      <c r="M256" s="29" t="n">
        <f aca="false">L256+E256</f>
        <v>37</v>
      </c>
      <c r="N256" s="29" t="n">
        <f aca="false">M256+F256</f>
        <v>46</v>
      </c>
      <c r="O256" s="29" t="n">
        <f aca="false">N256+G256</f>
        <v>57</v>
      </c>
      <c r="P256" s="29" t="n">
        <f aca="false">O256+H256</f>
        <v>69</v>
      </c>
      <c r="Q256" s="29" t="n">
        <f aca="false">P256+I256</f>
        <v>77</v>
      </c>
    </row>
    <row r="257" customFormat="false" ht="15" hidden="false" customHeight="false" outlineLevel="0" collapsed="false">
      <c r="A257" s="29" t="n">
        <v>256</v>
      </c>
      <c r="B257" s="29" t="n">
        <f aca="false">INDEX(Sprint_Metrics!$F$7:$F$16,RANDBETWEEN(1,ROWS(Sprint_Metrics!$F$7:$F$16)))</f>
        <v>7</v>
      </c>
      <c r="C257" s="29" t="n">
        <f aca="false">INDEX(Sprint_Metrics!$F$7:$F$16,RANDBETWEEN(1,ROWS(Sprint_Metrics!$F$7:$F$16)))</f>
        <v>8</v>
      </c>
      <c r="D257" s="29" t="n">
        <f aca="false">INDEX(Sprint_Metrics!$F$7:$F$16,RANDBETWEEN(1,ROWS(Sprint_Metrics!$F$7:$F$16)))</f>
        <v>8</v>
      </c>
      <c r="E257" s="29" t="n">
        <f aca="false">INDEX(Sprint_Metrics!$F$7:$F$16,RANDBETWEEN(1,ROWS(Sprint_Metrics!$F$7:$F$16)))</f>
        <v>11</v>
      </c>
      <c r="F257" s="29" t="n">
        <f aca="false">INDEX(Sprint_Metrics!$F$7:$F$16,RANDBETWEEN(1,ROWS(Sprint_Metrics!$F$7:$F$16)))</f>
        <v>8</v>
      </c>
      <c r="G257" s="29" t="n">
        <f aca="false">INDEX(Sprint_Metrics!$F$7:$F$16,RANDBETWEEN(1,ROWS(Sprint_Metrics!$F$7:$F$16)))</f>
        <v>8</v>
      </c>
      <c r="H257" s="29" t="n">
        <f aca="false">INDEX(Sprint_Metrics!$F$7:$F$16,RANDBETWEEN(1,ROWS(Sprint_Metrics!$F$7:$F$16)))</f>
        <v>8</v>
      </c>
      <c r="I257" s="29" t="n">
        <f aca="false">INDEX(Sprint_Metrics!$F$7:$F$16,RANDBETWEEN(1,ROWS(Sprint_Metrics!$F$7:$F$16)))</f>
        <v>8</v>
      </c>
      <c r="J257" s="29" t="n">
        <f aca="false">B257</f>
        <v>7</v>
      </c>
      <c r="K257" s="29" t="n">
        <f aca="false">J257+C257</f>
        <v>15</v>
      </c>
      <c r="L257" s="29" t="n">
        <f aca="false">K257+D257</f>
        <v>23</v>
      </c>
      <c r="M257" s="29" t="n">
        <f aca="false">L257+E257</f>
        <v>34</v>
      </c>
      <c r="N257" s="29" t="n">
        <f aca="false">M257+F257</f>
        <v>42</v>
      </c>
      <c r="O257" s="29" t="n">
        <f aca="false">N257+G257</f>
        <v>50</v>
      </c>
      <c r="P257" s="29" t="n">
        <f aca="false">O257+H257</f>
        <v>58</v>
      </c>
      <c r="Q257" s="29" t="n">
        <f aca="false">P257+I257</f>
        <v>66</v>
      </c>
    </row>
    <row r="258" customFormat="false" ht="15" hidden="false" customHeight="false" outlineLevel="0" collapsed="false">
      <c r="A258" s="29" t="n">
        <v>257</v>
      </c>
      <c r="B258" s="29" t="n">
        <f aca="false">INDEX(Sprint_Metrics!$F$7:$F$16,RANDBETWEEN(1,ROWS(Sprint_Metrics!$F$7:$F$16)))</f>
        <v>7</v>
      </c>
      <c r="C258" s="29" t="n">
        <f aca="false">INDEX(Sprint_Metrics!$F$7:$F$16,RANDBETWEEN(1,ROWS(Sprint_Metrics!$F$7:$F$16)))</f>
        <v>11</v>
      </c>
      <c r="D258" s="29" t="n">
        <f aca="false">INDEX(Sprint_Metrics!$F$7:$F$16,RANDBETWEEN(1,ROWS(Sprint_Metrics!$F$7:$F$16)))</f>
        <v>8</v>
      </c>
      <c r="E258" s="29" t="n">
        <f aca="false">INDEX(Sprint_Metrics!$F$7:$F$16,RANDBETWEEN(1,ROWS(Sprint_Metrics!$F$7:$F$16)))</f>
        <v>7</v>
      </c>
      <c r="F258" s="29" t="n">
        <f aca="false">INDEX(Sprint_Metrics!$F$7:$F$16,RANDBETWEEN(1,ROWS(Sprint_Metrics!$F$7:$F$16)))</f>
        <v>8</v>
      </c>
      <c r="G258" s="29" t="n">
        <f aca="false">INDEX(Sprint_Metrics!$F$7:$F$16,RANDBETWEEN(1,ROWS(Sprint_Metrics!$F$7:$F$16)))</f>
        <v>9</v>
      </c>
      <c r="H258" s="29" t="n">
        <f aca="false">INDEX(Sprint_Metrics!$F$7:$F$16,RANDBETWEEN(1,ROWS(Sprint_Metrics!$F$7:$F$16)))</f>
        <v>8</v>
      </c>
      <c r="I258" s="29" t="n">
        <f aca="false">INDEX(Sprint_Metrics!$F$7:$F$16,RANDBETWEEN(1,ROWS(Sprint_Metrics!$F$7:$F$16)))</f>
        <v>7</v>
      </c>
      <c r="J258" s="29" t="n">
        <f aca="false">B258</f>
        <v>7</v>
      </c>
      <c r="K258" s="29" t="n">
        <f aca="false">J258+C258</f>
        <v>18</v>
      </c>
      <c r="L258" s="29" t="n">
        <f aca="false">K258+D258</f>
        <v>26</v>
      </c>
      <c r="M258" s="29" t="n">
        <f aca="false">L258+E258</f>
        <v>33</v>
      </c>
      <c r="N258" s="29" t="n">
        <f aca="false">M258+F258</f>
        <v>41</v>
      </c>
      <c r="O258" s="29" t="n">
        <f aca="false">N258+G258</f>
        <v>50</v>
      </c>
      <c r="P258" s="29" t="n">
        <f aca="false">O258+H258</f>
        <v>58</v>
      </c>
      <c r="Q258" s="29" t="n">
        <f aca="false">P258+I258</f>
        <v>65</v>
      </c>
    </row>
    <row r="259" customFormat="false" ht="15" hidden="false" customHeight="false" outlineLevel="0" collapsed="false">
      <c r="A259" s="29" t="n">
        <v>258</v>
      </c>
      <c r="B259" s="29" t="n">
        <f aca="false">INDEX(Sprint_Metrics!$F$7:$F$16,RANDBETWEEN(1,ROWS(Sprint_Metrics!$F$7:$F$16)))</f>
        <v>7</v>
      </c>
      <c r="C259" s="29" t="n">
        <f aca="false">INDEX(Sprint_Metrics!$F$7:$F$16,RANDBETWEEN(1,ROWS(Sprint_Metrics!$F$7:$F$16)))</f>
        <v>7</v>
      </c>
      <c r="D259" s="29" t="n">
        <f aca="false">INDEX(Sprint_Metrics!$F$7:$F$16,RANDBETWEEN(1,ROWS(Sprint_Metrics!$F$7:$F$16)))</f>
        <v>9</v>
      </c>
      <c r="E259" s="29" t="n">
        <f aca="false">INDEX(Sprint_Metrics!$F$7:$F$16,RANDBETWEEN(1,ROWS(Sprint_Metrics!$F$7:$F$16)))</f>
        <v>8</v>
      </c>
      <c r="F259" s="29" t="n">
        <f aca="false">INDEX(Sprint_Metrics!$F$7:$F$16,RANDBETWEEN(1,ROWS(Sprint_Metrics!$F$7:$F$16)))</f>
        <v>12</v>
      </c>
      <c r="G259" s="29" t="n">
        <f aca="false">INDEX(Sprint_Metrics!$F$7:$F$16,RANDBETWEEN(1,ROWS(Sprint_Metrics!$F$7:$F$16)))</f>
        <v>7</v>
      </c>
      <c r="H259" s="29" t="n">
        <f aca="false">INDEX(Sprint_Metrics!$F$7:$F$16,RANDBETWEEN(1,ROWS(Sprint_Metrics!$F$7:$F$16)))</f>
        <v>11</v>
      </c>
      <c r="I259" s="29" t="n">
        <f aca="false">INDEX(Sprint_Metrics!$F$7:$F$16,RANDBETWEEN(1,ROWS(Sprint_Metrics!$F$7:$F$16)))</f>
        <v>8</v>
      </c>
      <c r="J259" s="29" t="n">
        <f aca="false">B259</f>
        <v>7</v>
      </c>
      <c r="K259" s="29" t="n">
        <f aca="false">J259+C259</f>
        <v>14</v>
      </c>
      <c r="L259" s="29" t="n">
        <f aca="false">K259+D259</f>
        <v>23</v>
      </c>
      <c r="M259" s="29" t="n">
        <f aca="false">L259+E259</f>
        <v>31</v>
      </c>
      <c r="N259" s="29" t="n">
        <f aca="false">M259+F259</f>
        <v>43</v>
      </c>
      <c r="O259" s="29" t="n">
        <f aca="false">N259+G259</f>
        <v>50</v>
      </c>
      <c r="P259" s="29" t="n">
        <f aca="false">O259+H259</f>
        <v>61</v>
      </c>
      <c r="Q259" s="29" t="n">
        <f aca="false">P259+I259</f>
        <v>69</v>
      </c>
    </row>
    <row r="260" customFormat="false" ht="15" hidden="false" customHeight="false" outlineLevel="0" collapsed="false">
      <c r="A260" s="29" t="n">
        <v>259</v>
      </c>
      <c r="B260" s="29" t="n">
        <f aca="false">INDEX(Sprint_Metrics!$F$7:$F$16,RANDBETWEEN(1,ROWS(Sprint_Metrics!$F$7:$F$16)))</f>
        <v>9</v>
      </c>
      <c r="C260" s="29" t="n">
        <f aca="false">INDEX(Sprint_Metrics!$F$7:$F$16,RANDBETWEEN(1,ROWS(Sprint_Metrics!$F$7:$F$16)))</f>
        <v>7</v>
      </c>
      <c r="D260" s="29" t="n">
        <f aca="false">INDEX(Sprint_Metrics!$F$7:$F$16,RANDBETWEEN(1,ROWS(Sprint_Metrics!$F$7:$F$16)))</f>
        <v>8</v>
      </c>
      <c r="E260" s="29" t="n">
        <f aca="false">INDEX(Sprint_Metrics!$F$7:$F$16,RANDBETWEEN(1,ROWS(Sprint_Metrics!$F$7:$F$16)))</f>
        <v>12</v>
      </c>
      <c r="F260" s="29" t="n">
        <f aca="false">INDEX(Sprint_Metrics!$F$7:$F$16,RANDBETWEEN(1,ROWS(Sprint_Metrics!$F$7:$F$16)))</f>
        <v>8</v>
      </c>
      <c r="G260" s="29" t="n">
        <f aca="false">INDEX(Sprint_Metrics!$F$7:$F$16,RANDBETWEEN(1,ROWS(Sprint_Metrics!$F$7:$F$16)))</f>
        <v>8</v>
      </c>
      <c r="H260" s="29" t="n">
        <f aca="false">INDEX(Sprint_Metrics!$F$7:$F$16,RANDBETWEEN(1,ROWS(Sprint_Metrics!$F$7:$F$16)))</f>
        <v>7</v>
      </c>
      <c r="I260" s="29" t="n">
        <f aca="false">INDEX(Sprint_Metrics!$F$7:$F$16,RANDBETWEEN(1,ROWS(Sprint_Metrics!$F$7:$F$16)))</f>
        <v>12</v>
      </c>
      <c r="J260" s="29" t="n">
        <f aca="false">B260</f>
        <v>9</v>
      </c>
      <c r="K260" s="29" t="n">
        <f aca="false">J260+C260</f>
        <v>16</v>
      </c>
      <c r="L260" s="29" t="n">
        <f aca="false">K260+D260</f>
        <v>24</v>
      </c>
      <c r="M260" s="29" t="n">
        <f aca="false">L260+E260</f>
        <v>36</v>
      </c>
      <c r="N260" s="29" t="n">
        <f aca="false">M260+F260</f>
        <v>44</v>
      </c>
      <c r="O260" s="29" t="n">
        <f aca="false">N260+G260</f>
        <v>52</v>
      </c>
      <c r="P260" s="29" t="n">
        <f aca="false">O260+H260</f>
        <v>59</v>
      </c>
      <c r="Q260" s="29" t="n">
        <f aca="false">P260+I260</f>
        <v>71</v>
      </c>
    </row>
    <row r="261" customFormat="false" ht="15" hidden="false" customHeight="false" outlineLevel="0" collapsed="false">
      <c r="A261" s="29" t="n">
        <v>260</v>
      </c>
      <c r="B261" s="29" t="n">
        <f aca="false">INDEX(Sprint_Metrics!$F$7:$F$16,RANDBETWEEN(1,ROWS(Sprint_Metrics!$F$7:$F$16)))</f>
        <v>7</v>
      </c>
      <c r="C261" s="29" t="n">
        <f aca="false">INDEX(Sprint_Metrics!$F$7:$F$16,RANDBETWEEN(1,ROWS(Sprint_Metrics!$F$7:$F$16)))</f>
        <v>8</v>
      </c>
      <c r="D261" s="29" t="n">
        <f aca="false">INDEX(Sprint_Metrics!$F$7:$F$16,RANDBETWEEN(1,ROWS(Sprint_Metrics!$F$7:$F$16)))</f>
        <v>9</v>
      </c>
      <c r="E261" s="29" t="n">
        <f aca="false">INDEX(Sprint_Metrics!$F$7:$F$16,RANDBETWEEN(1,ROWS(Sprint_Metrics!$F$7:$F$16)))</f>
        <v>8</v>
      </c>
      <c r="F261" s="29" t="n">
        <f aca="false">INDEX(Sprint_Metrics!$F$7:$F$16,RANDBETWEEN(1,ROWS(Sprint_Metrics!$F$7:$F$16)))</f>
        <v>7</v>
      </c>
      <c r="G261" s="29" t="n">
        <f aca="false">INDEX(Sprint_Metrics!$F$7:$F$16,RANDBETWEEN(1,ROWS(Sprint_Metrics!$F$7:$F$16)))</f>
        <v>11</v>
      </c>
      <c r="H261" s="29" t="n">
        <f aca="false">INDEX(Sprint_Metrics!$F$7:$F$16,RANDBETWEEN(1,ROWS(Sprint_Metrics!$F$7:$F$16)))</f>
        <v>8</v>
      </c>
      <c r="I261" s="29" t="n">
        <f aca="false">INDEX(Sprint_Metrics!$F$7:$F$16,RANDBETWEEN(1,ROWS(Sprint_Metrics!$F$7:$F$16)))</f>
        <v>8</v>
      </c>
      <c r="J261" s="29" t="n">
        <f aca="false">B261</f>
        <v>7</v>
      </c>
      <c r="K261" s="29" t="n">
        <f aca="false">J261+C261</f>
        <v>15</v>
      </c>
      <c r="L261" s="29" t="n">
        <f aca="false">K261+D261</f>
        <v>24</v>
      </c>
      <c r="M261" s="29" t="n">
        <f aca="false">L261+E261</f>
        <v>32</v>
      </c>
      <c r="N261" s="29" t="n">
        <f aca="false">M261+F261</f>
        <v>39</v>
      </c>
      <c r="O261" s="29" t="n">
        <f aca="false">N261+G261</f>
        <v>50</v>
      </c>
      <c r="P261" s="29" t="n">
        <f aca="false">O261+H261</f>
        <v>58</v>
      </c>
      <c r="Q261" s="29" t="n">
        <f aca="false">P261+I261</f>
        <v>66</v>
      </c>
    </row>
    <row r="262" customFormat="false" ht="15" hidden="false" customHeight="false" outlineLevel="0" collapsed="false">
      <c r="A262" s="29" t="n">
        <v>261</v>
      </c>
      <c r="B262" s="29" t="n">
        <f aca="false">INDEX(Sprint_Metrics!$F$7:$F$16,RANDBETWEEN(1,ROWS(Sprint_Metrics!$F$7:$F$16)))</f>
        <v>8</v>
      </c>
      <c r="C262" s="29" t="n">
        <f aca="false">INDEX(Sprint_Metrics!$F$7:$F$16,RANDBETWEEN(1,ROWS(Sprint_Metrics!$F$7:$F$16)))</f>
        <v>11</v>
      </c>
      <c r="D262" s="29" t="n">
        <f aca="false">INDEX(Sprint_Metrics!$F$7:$F$16,RANDBETWEEN(1,ROWS(Sprint_Metrics!$F$7:$F$16)))</f>
        <v>8</v>
      </c>
      <c r="E262" s="29" t="n">
        <f aca="false">INDEX(Sprint_Metrics!$F$7:$F$16,RANDBETWEEN(1,ROWS(Sprint_Metrics!$F$7:$F$16)))</f>
        <v>8</v>
      </c>
      <c r="F262" s="29" t="n">
        <f aca="false">INDEX(Sprint_Metrics!$F$7:$F$16,RANDBETWEEN(1,ROWS(Sprint_Metrics!$F$7:$F$16)))</f>
        <v>11</v>
      </c>
      <c r="G262" s="29" t="n">
        <f aca="false">INDEX(Sprint_Metrics!$F$7:$F$16,RANDBETWEEN(1,ROWS(Sprint_Metrics!$F$7:$F$16)))</f>
        <v>8</v>
      </c>
      <c r="H262" s="29" t="n">
        <f aca="false">INDEX(Sprint_Metrics!$F$7:$F$16,RANDBETWEEN(1,ROWS(Sprint_Metrics!$F$7:$F$16)))</f>
        <v>8</v>
      </c>
      <c r="I262" s="29" t="n">
        <f aca="false">INDEX(Sprint_Metrics!$F$7:$F$16,RANDBETWEEN(1,ROWS(Sprint_Metrics!$F$7:$F$16)))</f>
        <v>11</v>
      </c>
      <c r="J262" s="29" t="n">
        <f aca="false">B262</f>
        <v>8</v>
      </c>
      <c r="K262" s="29" t="n">
        <f aca="false">J262+C262</f>
        <v>19</v>
      </c>
      <c r="L262" s="29" t="n">
        <f aca="false">K262+D262</f>
        <v>27</v>
      </c>
      <c r="M262" s="29" t="n">
        <f aca="false">L262+E262</f>
        <v>35</v>
      </c>
      <c r="N262" s="29" t="n">
        <f aca="false">M262+F262</f>
        <v>46</v>
      </c>
      <c r="O262" s="29" t="n">
        <f aca="false">N262+G262</f>
        <v>54</v>
      </c>
      <c r="P262" s="29" t="n">
        <f aca="false">O262+H262</f>
        <v>62</v>
      </c>
      <c r="Q262" s="29" t="n">
        <f aca="false">P262+I262</f>
        <v>73</v>
      </c>
    </row>
    <row r="263" customFormat="false" ht="15" hidden="false" customHeight="false" outlineLevel="0" collapsed="false">
      <c r="A263" s="29" t="n">
        <v>262</v>
      </c>
      <c r="B263" s="29" t="n">
        <f aca="false">INDEX(Sprint_Metrics!$F$7:$F$16,RANDBETWEEN(1,ROWS(Sprint_Metrics!$F$7:$F$16)))</f>
        <v>11</v>
      </c>
      <c r="C263" s="29" t="n">
        <f aca="false">INDEX(Sprint_Metrics!$F$7:$F$16,RANDBETWEEN(1,ROWS(Sprint_Metrics!$F$7:$F$16)))</f>
        <v>9</v>
      </c>
      <c r="D263" s="29" t="n">
        <f aca="false">INDEX(Sprint_Metrics!$F$7:$F$16,RANDBETWEEN(1,ROWS(Sprint_Metrics!$F$7:$F$16)))</f>
        <v>11</v>
      </c>
      <c r="E263" s="29" t="n">
        <f aca="false">INDEX(Sprint_Metrics!$F$7:$F$16,RANDBETWEEN(1,ROWS(Sprint_Metrics!$F$7:$F$16)))</f>
        <v>12</v>
      </c>
      <c r="F263" s="29" t="n">
        <f aca="false">INDEX(Sprint_Metrics!$F$7:$F$16,RANDBETWEEN(1,ROWS(Sprint_Metrics!$F$7:$F$16)))</f>
        <v>7</v>
      </c>
      <c r="G263" s="29" t="n">
        <f aca="false">INDEX(Sprint_Metrics!$F$7:$F$16,RANDBETWEEN(1,ROWS(Sprint_Metrics!$F$7:$F$16)))</f>
        <v>8</v>
      </c>
      <c r="H263" s="29" t="n">
        <f aca="false">INDEX(Sprint_Metrics!$F$7:$F$16,RANDBETWEEN(1,ROWS(Sprint_Metrics!$F$7:$F$16)))</f>
        <v>9</v>
      </c>
      <c r="I263" s="29" t="n">
        <f aca="false">INDEX(Sprint_Metrics!$F$7:$F$16,RANDBETWEEN(1,ROWS(Sprint_Metrics!$F$7:$F$16)))</f>
        <v>11</v>
      </c>
      <c r="J263" s="29" t="n">
        <f aca="false">B263</f>
        <v>11</v>
      </c>
      <c r="K263" s="29" t="n">
        <f aca="false">J263+C263</f>
        <v>20</v>
      </c>
      <c r="L263" s="29" t="n">
        <f aca="false">K263+D263</f>
        <v>31</v>
      </c>
      <c r="M263" s="29" t="n">
        <f aca="false">L263+E263</f>
        <v>43</v>
      </c>
      <c r="N263" s="29" t="n">
        <f aca="false">M263+F263</f>
        <v>50</v>
      </c>
      <c r="O263" s="29" t="n">
        <f aca="false">N263+G263</f>
        <v>58</v>
      </c>
      <c r="P263" s="29" t="n">
        <f aca="false">O263+H263</f>
        <v>67</v>
      </c>
      <c r="Q263" s="29" t="n">
        <f aca="false">P263+I263</f>
        <v>78</v>
      </c>
    </row>
    <row r="264" customFormat="false" ht="15" hidden="false" customHeight="false" outlineLevel="0" collapsed="false">
      <c r="A264" s="29" t="n">
        <v>263</v>
      </c>
      <c r="B264" s="29" t="n">
        <f aca="false">INDEX(Sprint_Metrics!$F$7:$F$16,RANDBETWEEN(1,ROWS(Sprint_Metrics!$F$7:$F$16)))</f>
        <v>9</v>
      </c>
      <c r="C264" s="29" t="n">
        <f aca="false">INDEX(Sprint_Metrics!$F$7:$F$16,RANDBETWEEN(1,ROWS(Sprint_Metrics!$F$7:$F$16)))</f>
        <v>11</v>
      </c>
      <c r="D264" s="29" t="n">
        <f aca="false">INDEX(Sprint_Metrics!$F$7:$F$16,RANDBETWEEN(1,ROWS(Sprint_Metrics!$F$7:$F$16)))</f>
        <v>12</v>
      </c>
      <c r="E264" s="29" t="n">
        <f aca="false">INDEX(Sprint_Metrics!$F$7:$F$16,RANDBETWEEN(1,ROWS(Sprint_Metrics!$F$7:$F$16)))</f>
        <v>11</v>
      </c>
      <c r="F264" s="29" t="n">
        <f aca="false">INDEX(Sprint_Metrics!$F$7:$F$16,RANDBETWEEN(1,ROWS(Sprint_Metrics!$F$7:$F$16)))</f>
        <v>8</v>
      </c>
      <c r="G264" s="29" t="n">
        <f aca="false">INDEX(Sprint_Metrics!$F$7:$F$16,RANDBETWEEN(1,ROWS(Sprint_Metrics!$F$7:$F$16)))</f>
        <v>11</v>
      </c>
      <c r="H264" s="29" t="n">
        <f aca="false">INDEX(Sprint_Metrics!$F$7:$F$16,RANDBETWEEN(1,ROWS(Sprint_Metrics!$F$7:$F$16)))</f>
        <v>12</v>
      </c>
      <c r="I264" s="29" t="n">
        <f aca="false">INDEX(Sprint_Metrics!$F$7:$F$16,RANDBETWEEN(1,ROWS(Sprint_Metrics!$F$7:$F$16)))</f>
        <v>8</v>
      </c>
      <c r="J264" s="29" t="n">
        <f aca="false">B264</f>
        <v>9</v>
      </c>
      <c r="K264" s="29" t="n">
        <f aca="false">J264+C264</f>
        <v>20</v>
      </c>
      <c r="L264" s="29" t="n">
        <f aca="false">K264+D264</f>
        <v>32</v>
      </c>
      <c r="M264" s="29" t="n">
        <f aca="false">L264+E264</f>
        <v>43</v>
      </c>
      <c r="N264" s="29" t="n">
        <f aca="false">M264+F264</f>
        <v>51</v>
      </c>
      <c r="O264" s="29" t="n">
        <f aca="false">N264+G264</f>
        <v>62</v>
      </c>
      <c r="P264" s="29" t="n">
        <f aca="false">O264+H264</f>
        <v>74</v>
      </c>
      <c r="Q264" s="29" t="n">
        <f aca="false">P264+I264</f>
        <v>82</v>
      </c>
    </row>
    <row r="265" customFormat="false" ht="15" hidden="false" customHeight="false" outlineLevel="0" collapsed="false">
      <c r="A265" s="29" t="n">
        <v>264</v>
      </c>
      <c r="B265" s="29" t="n">
        <f aca="false">INDEX(Sprint_Metrics!$F$7:$F$16,RANDBETWEEN(1,ROWS(Sprint_Metrics!$F$7:$F$16)))</f>
        <v>7</v>
      </c>
      <c r="C265" s="29" t="n">
        <f aca="false">INDEX(Sprint_Metrics!$F$7:$F$16,RANDBETWEEN(1,ROWS(Sprint_Metrics!$F$7:$F$16)))</f>
        <v>7</v>
      </c>
      <c r="D265" s="29" t="n">
        <f aca="false">INDEX(Sprint_Metrics!$F$7:$F$16,RANDBETWEEN(1,ROWS(Sprint_Metrics!$F$7:$F$16)))</f>
        <v>12</v>
      </c>
      <c r="E265" s="29" t="n">
        <f aca="false">INDEX(Sprint_Metrics!$F$7:$F$16,RANDBETWEEN(1,ROWS(Sprint_Metrics!$F$7:$F$16)))</f>
        <v>7</v>
      </c>
      <c r="F265" s="29" t="n">
        <f aca="false">INDEX(Sprint_Metrics!$F$7:$F$16,RANDBETWEEN(1,ROWS(Sprint_Metrics!$F$7:$F$16)))</f>
        <v>11</v>
      </c>
      <c r="G265" s="29" t="n">
        <f aca="false">INDEX(Sprint_Metrics!$F$7:$F$16,RANDBETWEEN(1,ROWS(Sprint_Metrics!$F$7:$F$16)))</f>
        <v>11</v>
      </c>
      <c r="H265" s="29" t="n">
        <f aca="false">INDEX(Sprint_Metrics!$F$7:$F$16,RANDBETWEEN(1,ROWS(Sprint_Metrics!$F$7:$F$16)))</f>
        <v>9</v>
      </c>
      <c r="I265" s="29" t="n">
        <f aca="false">INDEX(Sprint_Metrics!$F$7:$F$16,RANDBETWEEN(1,ROWS(Sprint_Metrics!$F$7:$F$16)))</f>
        <v>9</v>
      </c>
      <c r="J265" s="29" t="n">
        <f aca="false">B265</f>
        <v>7</v>
      </c>
      <c r="K265" s="29" t="n">
        <f aca="false">J265+C265</f>
        <v>14</v>
      </c>
      <c r="L265" s="29" t="n">
        <f aca="false">K265+D265</f>
        <v>26</v>
      </c>
      <c r="M265" s="29" t="n">
        <f aca="false">L265+E265</f>
        <v>33</v>
      </c>
      <c r="N265" s="29" t="n">
        <f aca="false">M265+F265</f>
        <v>44</v>
      </c>
      <c r="O265" s="29" t="n">
        <f aca="false">N265+G265</f>
        <v>55</v>
      </c>
      <c r="P265" s="29" t="n">
        <f aca="false">O265+H265</f>
        <v>64</v>
      </c>
      <c r="Q265" s="29" t="n">
        <f aca="false">P265+I265</f>
        <v>73</v>
      </c>
    </row>
    <row r="266" customFormat="false" ht="15" hidden="false" customHeight="false" outlineLevel="0" collapsed="false">
      <c r="A266" s="29" t="n">
        <v>265</v>
      </c>
      <c r="B266" s="29" t="n">
        <f aca="false">INDEX(Sprint_Metrics!$F$7:$F$16,RANDBETWEEN(1,ROWS(Sprint_Metrics!$F$7:$F$16)))</f>
        <v>9</v>
      </c>
      <c r="C266" s="29" t="n">
        <f aca="false">INDEX(Sprint_Metrics!$F$7:$F$16,RANDBETWEEN(1,ROWS(Sprint_Metrics!$F$7:$F$16)))</f>
        <v>12</v>
      </c>
      <c r="D266" s="29" t="n">
        <f aca="false">INDEX(Sprint_Metrics!$F$7:$F$16,RANDBETWEEN(1,ROWS(Sprint_Metrics!$F$7:$F$16)))</f>
        <v>8</v>
      </c>
      <c r="E266" s="29" t="n">
        <f aca="false">INDEX(Sprint_Metrics!$F$7:$F$16,RANDBETWEEN(1,ROWS(Sprint_Metrics!$F$7:$F$16)))</f>
        <v>7</v>
      </c>
      <c r="F266" s="29" t="n">
        <f aca="false">INDEX(Sprint_Metrics!$F$7:$F$16,RANDBETWEEN(1,ROWS(Sprint_Metrics!$F$7:$F$16)))</f>
        <v>8</v>
      </c>
      <c r="G266" s="29" t="n">
        <f aca="false">INDEX(Sprint_Metrics!$F$7:$F$16,RANDBETWEEN(1,ROWS(Sprint_Metrics!$F$7:$F$16)))</f>
        <v>7</v>
      </c>
      <c r="H266" s="29" t="n">
        <f aca="false">INDEX(Sprint_Metrics!$F$7:$F$16,RANDBETWEEN(1,ROWS(Sprint_Metrics!$F$7:$F$16)))</f>
        <v>8</v>
      </c>
      <c r="I266" s="29" t="n">
        <f aca="false">INDEX(Sprint_Metrics!$F$7:$F$16,RANDBETWEEN(1,ROWS(Sprint_Metrics!$F$7:$F$16)))</f>
        <v>11</v>
      </c>
      <c r="J266" s="29" t="n">
        <f aca="false">B266</f>
        <v>9</v>
      </c>
      <c r="K266" s="29" t="n">
        <f aca="false">J266+C266</f>
        <v>21</v>
      </c>
      <c r="L266" s="29" t="n">
        <f aca="false">K266+D266</f>
        <v>29</v>
      </c>
      <c r="M266" s="29" t="n">
        <f aca="false">L266+E266</f>
        <v>36</v>
      </c>
      <c r="N266" s="29" t="n">
        <f aca="false">M266+F266</f>
        <v>44</v>
      </c>
      <c r="O266" s="29" t="n">
        <f aca="false">N266+G266</f>
        <v>51</v>
      </c>
      <c r="P266" s="29" t="n">
        <f aca="false">O266+H266</f>
        <v>59</v>
      </c>
      <c r="Q266" s="29" t="n">
        <f aca="false">P266+I266</f>
        <v>70</v>
      </c>
    </row>
    <row r="267" customFormat="false" ht="15" hidden="false" customHeight="false" outlineLevel="0" collapsed="false">
      <c r="A267" s="29" t="n">
        <v>266</v>
      </c>
      <c r="B267" s="29" t="n">
        <f aca="false">INDEX(Sprint_Metrics!$F$7:$F$16,RANDBETWEEN(1,ROWS(Sprint_Metrics!$F$7:$F$16)))</f>
        <v>7</v>
      </c>
      <c r="C267" s="29" t="n">
        <f aca="false">INDEX(Sprint_Metrics!$F$7:$F$16,RANDBETWEEN(1,ROWS(Sprint_Metrics!$F$7:$F$16)))</f>
        <v>7</v>
      </c>
      <c r="D267" s="29" t="n">
        <f aca="false">INDEX(Sprint_Metrics!$F$7:$F$16,RANDBETWEEN(1,ROWS(Sprint_Metrics!$F$7:$F$16)))</f>
        <v>7</v>
      </c>
      <c r="E267" s="29" t="n">
        <f aca="false">INDEX(Sprint_Metrics!$F$7:$F$16,RANDBETWEEN(1,ROWS(Sprint_Metrics!$F$7:$F$16)))</f>
        <v>11</v>
      </c>
      <c r="F267" s="29" t="n">
        <f aca="false">INDEX(Sprint_Metrics!$F$7:$F$16,RANDBETWEEN(1,ROWS(Sprint_Metrics!$F$7:$F$16)))</f>
        <v>7</v>
      </c>
      <c r="G267" s="29" t="n">
        <f aca="false">INDEX(Sprint_Metrics!$F$7:$F$16,RANDBETWEEN(1,ROWS(Sprint_Metrics!$F$7:$F$16)))</f>
        <v>7</v>
      </c>
      <c r="H267" s="29" t="n">
        <f aca="false">INDEX(Sprint_Metrics!$F$7:$F$16,RANDBETWEEN(1,ROWS(Sprint_Metrics!$F$7:$F$16)))</f>
        <v>7</v>
      </c>
      <c r="I267" s="29" t="n">
        <f aca="false">INDEX(Sprint_Metrics!$F$7:$F$16,RANDBETWEEN(1,ROWS(Sprint_Metrics!$F$7:$F$16)))</f>
        <v>11</v>
      </c>
      <c r="J267" s="29" t="n">
        <f aca="false">B267</f>
        <v>7</v>
      </c>
      <c r="K267" s="29" t="n">
        <f aca="false">J267+C267</f>
        <v>14</v>
      </c>
      <c r="L267" s="29" t="n">
        <f aca="false">K267+D267</f>
        <v>21</v>
      </c>
      <c r="M267" s="29" t="n">
        <f aca="false">L267+E267</f>
        <v>32</v>
      </c>
      <c r="N267" s="29" t="n">
        <f aca="false">M267+F267</f>
        <v>39</v>
      </c>
      <c r="O267" s="29" t="n">
        <f aca="false">N267+G267</f>
        <v>46</v>
      </c>
      <c r="P267" s="29" t="n">
        <f aca="false">O267+H267</f>
        <v>53</v>
      </c>
      <c r="Q267" s="29" t="n">
        <f aca="false">P267+I267</f>
        <v>64</v>
      </c>
    </row>
    <row r="268" customFormat="false" ht="15" hidden="false" customHeight="false" outlineLevel="0" collapsed="false">
      <c r="A268" s="29" t="n">
        <v>267</v>
      </c>
      <c r="B268" s="29" t="n">
        <f aca="false">INDEX(Sprint_Metrics!$F$7:$F$16,RANDBETWEEN(1,ROWS(Sprint_Metrics!$F$7:$F$16)))</f>
        <v>9</v>
      </c>
      <c r="C268" s="29" t="n">
        <f aca="false">INDEX(Sprint_Metrics!$F$7:$F$16,RANDBETWEEN(1,ROWS(Sprint_Metrics!$F$7:$F$16)))</f>
        <v>12</v>
      </c>
      <c r="D268" s="29" t="n">
        <f aca="false">INDEX(Sprint_Metrics!$F$7:$F$16,RANDBETWEEN(1,ROWS(Sprint_Metrics!$F$7:$F$16)))</f>
        <v>9</v>
      </c>
      <c r="E268" s="29" t="n">
        <f aca="false">INDEX(Sprint_Metrics!$F$7:$F$16,RANDBETWEEN(1,ROWS(Sprint_Metrics!$F$7:$F$16)))</f>
        <v>8</v>
      </c>
      <c r="F268" s="29" t="n">
        <f aca="false">INDEX(Sprint_Metrics!$F$7:$F$16,RANDBETWEEN(1,ROWS(Sprint_Metrics!$F$7:$F$16)))</f>
        <v>8</v>
      </c>
      <c r="G268" s="29" t="n">
        <f aca="false">INDEX(Sprint_Metrics!$F$7:$F$16,RANDBETWEEN(1,ROWS(Sprint_Metrics!$F$7:$F$16)))</f>
        <v>8</v>
      </c>
      <c r="H268" s="29" t="n">
        <f aca="false">INDEX(Sprint_Metrics!$F$7:$F$16,RANDBETWEEN(1,ROWS(Sprint_Metrics!$F$7:$F$16)))</f>
        <v>12</v>
      </c>
      <c r="I268" s="29" t="n">
        <f aca="false">INDEX(Sprint_Metrics!$F$7:$F$16,RANDBETWEEN(1,ROWS(Sprint_Metrics!$F$7:$F$16)))</f>
        <v>9</v>
      </c>
      <c r="J268" s="29" t="n">
        <f aca="false">B268</f>
        <v>9</v>
      </c>
      <c r="K268" s="29" t="n">
        <f aca="false">J268+C268</f>
        <v>21</v>
      </c>
      <c r="L268" s="29" t="n">
        <f aca="false">K268+D268</f>
        <v>30</v>
      </c>
      <c r="M268" s="29" t="n">
        <f aca="false">L268+E268</f>
        <v>38</v>
      </c>
      <c r="N268" s="29" t="n">
        <f aca="false">M268+F268</f>
        <v>46</v>
      </c>
      <c r="O268" s="29" t="n">
        <f aca="false">N268+G268</f>
        <v>54</v>
      </c>
      <c r="P268" s="29" t="n">
        <f aca="false">O268+H268</f>
        <v>66</v>
      </c>
      <c r="Q268" s="29" t="n">
        <f aca="false">P268+I268</f>
        <v>75</v>
      </c>
    </row>
    <row r="269" customFormat="false" ht="15" hidden="false" customHeight="false" outlineLevel="0" collapsed="false">
      <c r="A269" s="29" t="n">
        <v>268</v>
      </c>
      <c r="B269" s="29" t="n">
        <f aca="false">INDEX(Sprint_Metrics!$F$7:$F$16,RANDBETWEEN(1,ROWS(Sprint_Metrics!$F$7:$F$16)))</f>
        <v>8</v>
      </c>
      <c r="C269" s="29" t="n">
        <f aca="false">INDEX(Sprint_Metrics!$F$7:$F$16,RANDBETWEEN(1,ROWS(Sprint_Metrics!$F$7:$F$16)))</f>
        <v>8</v>
      </c>
      <c r="D269" s="29" t="n">
        <f aca="false">INDEX(Sprint_Metrics!$F$7:$F$16,RANDBETWEEN(1,ROWS(Sprint_Metrics!$F$7:$F$16)))</f>
        <v>7</v>
      </c>
      <c r="E269" s="29" t="n">
        <f aca="false">INDEX(Sprint_Metrics!$F$7:$F$16,RANDBETWEEN(1,ROWS(Sprint_Metrics!$F$7:$F$16)))</f>
        <v>8</v>
      </c>
      <c r="F269" s="29" t="n">
        <f aca="false">INDEX(Sprint_Metrics!$F$7:$F$16,RANDBETWEEN(1,ROWS(Sprint_Metrics!$F$7:$F$16)))</f>
        <v>12</v>
      </c>
      <c r="G269" s="29" t="n">
        <f aca="false">INDEX(Sprint_Metrics!$F$7:$F$16,RANDBETWEEN(1,ROWS(Sprint_Metrics!$F$7:$F$16)))</f>
        <v>11</v>
      </c>
      <c r="H269" s="29" t="n">
        <f aca="false">INDEX(Sprint_Metrics!$F$7:$F$16,RANDBETWEEN(1,ROWS(Sprint_Metrics!$F$7:$F$16)))</f>
        <v>11</v>
      </c>
      <c r="I269" s="29" t="n">
        <f aca="false">INDEX(Sprint_Metrics!$F$7:$F$16,RANDBETWEEN(1,ROWS(Sprint_Metrics!$F$7:$F$16)))</f>
        <v>11</v>
      </c>
      <c r="J269" s="29" t="n">
        <f aca="false">B269</f>
        <v>8</v>
      </c>
      <c r="K269" s="29" t="n">
        <f aca="false">J269+C269</f>
        <v>16</v>
      </c>
      <c r="L269" s="29" t="n">
        <f aca="false">K269+D269</f>
        <v>23</v>
      </c>
      <c r="M269" s="29" t="n">
        <f aca="false">L269+E269</f>
        <v>31</v>
      </c>
      <c r="N269" s="29" t="n">
        <f aca="false">M269+F269</f>
        <v>43</v>
      </c>
      <c r="O269" s="29" t="n">
        <f aca="false">N269+G269</f>
        <v>54</v>
      </c>
      <c r="P269" s="29" t="n">
        <f aca="false">O269+H269</f>
        <v>65</v>
      </c>
      <c r="Q269" s="29" t="n">
        <f aca="false">P269+I269</f>
        <v>76</v>
      </c>
    </row>
    <row r="270" customFormat="false" ht="15" hidden="false" customHeight="false" outlineLevel="0" collapsed="false">
      <c r="A270" s="29" t="n">
        <v>269</v>
      </c>
      <c r="B270" s="29" t="n">
        <f aca="false">INDEX(Sprint_Metrics!$F$7:$F$16,RANDBETWEEN(1,ROWS(Sprint_Metrics!$F$7:$F$16)))</f>
        <v>7</v>
      </c>
      <c r="C270" s="29" t="n">
        <f aca="false">INDEX(Sprint_Metrics!$F$7:$F$16,RANDBETWEEN(1,ROWS(Sprint_Metrics!$F$7:$F$16)))</f>
        <v>9</v>
      </c>
      <c r="D270" s="29" t="n">
        <f aca="false">INDEX(Sprint_Metrics!$F$7:$F$16,RANDBETWEEN(1,ROWS(Sprint_Metrics!$F$7:$F$16)))</f>
        <v>11</v>
      </c>
      <c r="E270" s="29" t="n">
        <f aca="false">INDEX(Sprint_Metrics!$F$7:$F$16,RANDBETWEEN(1,ROWS(Sprint_Metrics!$F$7:$F$16)))</f>
        <v>7</v>
      </c>
      <c r="F270" s="29" t="n">
        <f aca="false">INDEX(Sprint_Metrics!$F$7:$F$16,RANDBETWEEN(1,ROWS(Sprint_Metrics!$F$7:$F$16)))</f>
        <v>9</v>
      </c>
      <c r="G270" s="29" t="n">
        <f aca="false">INDEX(Sprint_Metrics!$F$7:$F$16,RANDBETWEEN(1,ROWS(Sprint_Metrics!$F$7:$F$16)))</f>
        <v>11</v>
      </c>
      <c r="H270" s="29" t="n">
        <f aca="false">INDEX(Sprint_Metrics!$F$7:$F$16,RANDBETWEEN(1,ROWS(Sprint_Metrics!$F$7:$F$16)))</f>
        <v>11</v>
      </c>
      <c r="I270" s="29" t="n">
        <f aca="false">INDEX(Sprint_Metrics!$F$7:$F$16,RANDBETWEEN(1,ROWS(Sprint_Metrics!$F$7:$F$16)))</f>
        <v>11</v>
      </c>
      <c r="J270" s="29" t="n">
        <f aca="false">B270</f>
        <v>7</v>
      </c>
      <c r="K270" s="29" t="n">
        <f aca="false">J270+C270</f>
        <v>16</v>
      </c>
      <c r="L270" s="29" t="n">
        <f aca="false">K270+D270</f>
        <v>27</v>
      </c>
      <c r="M270" s="29" t="n">
        <f aca="false">L270+E270</f>
        <v>34</v>
      </c>
      <c r="N270" s="29" t="n">
        <f aca="false">M270+F270</f>
        <v>43</v>
      </c>
      <c r="O270" s="29" t="n">
        <f aca="false">N270+G270</f>
        <v>54</v>
      </c>
      <c r="P270" s="29" t="n">
        <f aca="false">O270+H270</f>
        <v>65</v>
      </c>
      <c r="Q270" s="29" t="n">
        <f aca="false">P270+I270</f>
        <v>76</v>
      </c>
    </row>
    <row r="271" customFormat="false" ht="15" hidden="false" customHeight="false" outlineLevel="0" collapsed="false">
      <c r="A271" s="29" t="n">
        <v>270</v>
      </c>
      <c r="B271" s="29" t="n">
        <f aca="false">INDEX(Sprint_Metrics!$F$7:$F$16,RANDBETWEEN(1,ROWS(Sprint_Metrics!$F$7:$F$16)))</f>
        <v>8</v>
      </c>
      <c r="C271" s="29" t="n">
        <f aca="false">INDEX(Sprint_Metrics!$F$7:$F$16,RANDBETWEEN(1,ROWS(Sprint_Metrics!$F$7:$F$16)))</f>
        <v>9</v>
      </c>
      <c r="D271" s="29" t="n">
        <f aca="false">INDEX(Sprint_Metrics!$F$7:$F$16,RANDBETWEEN(1,ROWS(Sprint_Metrics!$F$7:$F$16)))</f>
        <v>7</v>
      </c>
      <c r="E271" s="29" t="n">
        <f aca="false">INDEX(Sprint_Metrics!$F$7:$F$16,RANDBETWEEN(1,ROWS(Sprint_Metrics!$F$7:$F$16)))</f>
        <v>7</v>
      </c>
      <c r="F271" s="29" t="n">
        <f aca="false">INDEX(Sprint_Metrics!$F$7:$F$16,RANDBETWEEN(1,ROWS(Sprint_Metrics!$F$7:$F$16)))</f>
        <v>12</v>
      </c>
      <c r="G271" s="29" t="n">
        <f aca="false">INDEX(Sprint_Metrics!$F$7:$F$16,RANDBETWEEN(1,ROWS(Sprint_Metrics!$F$7:$F$16)))</f>
        <v>8</v>
      </c>
      <c r="H271" s="29" t="n">
        <f aca="false">INDEX(Sprint_Metrics!$F$7:$F$16,RANDBETWEEN(1,ROWS(Sprint_Metrics!$F$7:$F$16)))</f>
        <v>9</v>
      </c>
      <c r="I271" s="29" t="n">
        <f aca="false">INDEX(Sprint_Metrics!$F$7:$F$16,RANDBETWEEN(1,ROWS(Sprint_Metrics!$F$7:$F$16)))</f>
        <v>7</v>
      </c>
      <c r="J271" s="29" t="n">
        <f aca="false">B271</f>
        <v>8</v>
      </c>
      <c r="K271" s="29" t="n">
        <f aca="false">J271+C271</f>
        <v>17</v>
      </c>
      <c r="L271" s="29" t="n">
        <f aca="false">K271+D271</f>
        <v>24</v>
      </c>
      <c r="M271" s="29" t="n">
        <f aca="false">L271+E271</f>
        <v>31</v>
      </c>
      <c r="N271" s="29" t="n">
        <f aca="false">M271+F271</f>
        <v>43</v>
      </c>
      <c r="O271" s="29" t="n">
        <f aca="false">N271+G271</f>
        <v>51</v>
      </c>
      <c r="P271" s="29" t="n">
        <f aca="false">O271+H271</f>
        <v>60</v>
      </c>
      <c r="Q271" s="29" t="n">
        <f aca="false">P271+I271</f>
        <v>67</v>
      </c>
    </row>
    <row r="272" customFormat="false" ht="15" hidden="false" customHeight="false" outlineLevel="0" collapsed="false">
      <c r="A272" s="29" t="n">
        <v>271</v>
      </c>
      <c r="B272" s="29" t="n">
        <f aca="false">INDEX(Sprint_Metrics!$F$7:$F$16,RANDBETWEEN(1,ROWS(Sprint_Metrics!$F$7:$F$16)))</f>
        <v>7</v>
      </c>
      <c r="C272" s="29" t="n">
        <f aca="false">INDEX(Sprint_Metrics!$F$7:$F$16,RANDBETWEEN(1,ROWS(Sprint_Metrics!$F$7:$F$16)))</f>
        <v>8</v>
      </c>
      <c r="D272" s="29" t="n">
        <f aca="false">INDEX(Sprint_Metrics!$F$7:$F$16,RANDBETWEEN(1,ROWS(Sprint_Metrics!$F$7:$F$16)))</f>
        <v>8</v>
      </c>
      <c r="E272" s="29" t="n">
        <f aca="false">INDEX(Sprint_Metrics!$F$7:$F$16,RANDBETWEEN(1,ROWS(Sprint_Metrics!$F$7:$F$16)))</f>
        <v>7</v>
      </c>
      <c r="F272" s="29" t="n">
        <f aca="false">INDEX(Sprint_Metrics!$F$7:$F$16,RANDBETWEEN(1,ROWS(Sprint_Metrics!$F$7:$F$16)))</f>
        <v>11</v>
      </c>
      <c r="G272" s="29" t="n">
        <f aca="false">INDEX(Sprint_Metrics!$F$7:$F$16,RANDBETWEEN(1,ROWS(Sprint_Metrics!$F$7:$F$16)))</f>
        <v>11</v>
      </c>
      <c r="H272" s="29" t="n">
        <f aca="false">INDEX(Sprint_Metrics!$F$7:$F$16,RANDBETWEEN(1,ROWS(Sprint_Metrics!$F$7:$F$16)))</f>
        <v>7</v>
      </c>
      <c r="I272" s="29" t="n">
        <f aca="false">INDEX(Sprint_Metrics!$F$7:$F$16,RANDBETWEEN(1,ROWS(Sprint_Metrics!$F$7:$F$16)))</f>
        <v>11</v>
      </c>
      <c r="J272" s="29" t="n">
        <f aca="false">B272</f>
        <v>7</v>
      </c>
      <c r="K272" s="29" t="n">
        <f aca="false">J272+C272</f>
        <v>15</v>
      </c>
      <c r="L272" s="29" t="n">
        <f aca="false">K272+D272</f>
        <v>23</v>
      </c>
      <c r="M272" s="29" t="n">
        <f aca="false">L272+E272</f>
        <v>30</v>
      </c>
      <c r="N272" s="29" t="n">
        <f aca="false">M272+F272</f>
        <v>41</v>
      </c>
      <c r="O272" s="29" t="n">
        <f aca="false">N272+G272</f>
        <v>52</v>
      </c>
      <c r="P272" s="29" t="n">
        <f aca="false">O272+H272</f>
        <v>59</v>
      </c>
      <c r="Q272" s="29" t="n">
        <f aca="false">P272+I272</f>
        <v>70</v>
      </c>
    </row>
    <row r="273" customFormat="false" ht="15" hidden="false" customHeight="false" outlineLevel="0" collapsed="false">
      <c r="A273" s="29" t="n">
        <v>272</v>
      </c>
      <c r="B273" s="29" t="n">
        <f aca="false">INDEX(Sprint_Metrics!$F$7:$F$16,RANDBETWEEN(1,ROWS(Sprint_Metrics!$F$7:$F$16)))</f>
        <v>11</v>
      </c>
      <c r="C273" s="29" t="n">
        <f aca="false">INDEX(Sprint_Metrics!$F$7:$F$16,RANDBETWEEN(1,ROWS(Sprint_Metrics!$F$7:$F$16)))</f>
        <v>7</v>
      </c>
      <c r="D273" s="29" t="n">
        <f aca="false">INDEX(Sprint_Metrics!$F$7:$F$16,RANDBETWEEN(1,ROWS(Sprint_Metrics!$F$7:$F$16)))</f>
        <v>8</v>
      </c>
      <c r="E273" s="29" t="n">
        <f aca="false">INDEX(Sprint_Metrics!$F$7:$F$16,RANDBETWEEN(1,ROWS(Sprint_Metrics!$F$7:$F$16)))</f>
        <v>8</v>
      </c>
      <c r="F273" s="29" t="n">
        <f aca="false">INDEX(Sprint_Metrics!$F$7:$F$16,RANDBETWEEN(1,ROWS(Sprint_Metrics!$F$7:$F$16)))</f>
        <v>11</v>
      </c>
      <c r="G273" s="29" t="n">
        <f aca="false">INDEX(Sprint_Metrics!$F$7:$F$16,RANDBETWEEN(1,ROWS(Sprint_Metrics!$F$7:$F$16)))</f>
        <v>11</v>
      </c>
      <c r="H273" s="29" t="n">
        <f aca="false">INDEX(Sprint_Metrics!$F$7:$F$16,RANDBETWEEN(1,ROWS(Sprint_Metrics!$F$7:$F$16)))</f>
        <v>11</v>
      </c>
      <c r="I273" s="29" t="n">
        <f aca="false">INDEX(Sprint_Metrics!$F$7:$F$16,RANDBETWEEN(1,ROWS(Sprint_Metrics!$F$7:$F$16)))</f>
        <v>9</v>
      </c>
      <c r="J273" s="29" t="n">
        <f aca="false">B273</f>
        <v>11</v>
      </c>
      <c r="K273" s="29" t="n">
        <f aca="false">J273+C273</f>
        <v>18</v>
      </c>
      <c r="L273" s="29" t="n">
        <f aca="false">K273+D273</f>
        <v>26</v>
      </c>
      <c r="M273" s="29" t="n">
        <f aca="false">L273+E273</f>
        <v>34</v>
      </c>
      <c r="N273" s="29" t="n">
        <f aca="false">M273+F273</f>
        <v>45</v>
      </c>
      <c r="O273" s="29" t="n">
        <f aca="false">N273+G273</f>
        <v>56</v>
      </c>
      <c r="P273" s="29" t="n">
        <f aca="false">O273+H273</f>
        <v>67</v>
      </c>
      <c r="Q273" s="29" t="n">
        <f aca="false">P273+I273</f>
        <v>76</v>
      </c>
    </row>
    <row r="274" customFormat="false" ht="15" hidden="false" customHeight="false" outlineLevel="0" collapsed="false">
      <c r="A274" s="29" t="n">
        <v>273</v>
      </c>
      <c r="B274" s="29" t="n">
        <f aca="false">INDEX(Sprint_Metrics!$F$7:$F$16,RANDBETWEEN(1,ROWS(Sprint_Metrics!$F$7:$F$16)))</f>
        <v>7</v>
      </c>
      <c r="C274" s="29" t="n">
        <f aca="false">INDEX(Sprint_Metrics!$F$7:$F$16,RANDBETWEEN(1,ROWS(Sprint_Metrics!$F$7:$F$16)))</f>
        <v>7</v>
      </c>
      <c r="D274" s="29" t="n">
        <f aca="false">INDEX(Sprint_Metrics!$F$7:$F$16,RANDBETWEEN(1,ROWS(Sprint_Metrics!$F$7:$F$16)))</f>
        <v>8</v>
      </c>
      <c r="E274" s="29" t="n">
        <f aca="false">INDEX(Sprint_Metrics!$F$7:$F$16,RANDBETWEEN(1,ROWS(Sprint_Metrics!$F$7:$F$16)))</f>
        <v>11</v>
      </c>
      <c r="F274" s="29" t="n">
        <f aca="false">INDEX(Sprint_Metrics!$F$7:$F$16,RANDBETWEEN(1,ROWS(Sprint_Metrics!$F$7:$F$16)))</f>
        <v>9</v>
      </c>
      <c r="G274" s="29" t="n">
        <f aca="false">INDEX(Sprint_Metrics!$F$7:$F$16,RANDBETWEEN(1,ROWS(Sprint_Metrics!$F$7:$F$16)))</f>
        <v>12</v>
      </c>
      <c r="H274" s="29" t="n">
        <f aca="false">INDEX(Sprint_Metrics!$F$7:$F$16,RANDBETWEEN(1,ROWS(Sprint_Metrics!$F$7:$F$16)))</f>
        <v>9</v>
      </c>
      <c r="I274" s="29" t="n">
        <f aca="false">INDEX(Sprint_Metrics!$F$7:$F$16,RANDBETWEEN(1,ROWS(Sprint_Metrics!$F$7:$F$16)))</f>
        <v>11</v>
      </c>
      <c r="J274" s="29" t="n">
        <f aca="false">B274</f>
        <v>7</v>
      </c>
      <c r="K274" s="29" t="n">
        <f aca="false">J274+C274</f>
        <v>14</v>
      </c>
      <c r="L274" s="29" t="n">
        <f aca="false">K274+D274</f>
        <v>22</v>
      </c>
      <c r="M274" s="29" t="n">
        <f aca="false">L274+E274</f>
        <v>33</v>
      </c>
      <c r="N274" s="29" t="n">
        <f aca="false">M274+F274</f>
        <v>42</v>
      </c>
      <c r="O274" s="29" t="n">
        <f aca="false">N274+G274</f>
        <v>54</v>
      </c>
      <c r="P274" s="29" t="n">
        <f aca="false">O274+H274</f>
        <v>63</v>
      </c>
      <c r="Q274" s="29" t="n">
        <f aca="false">P274+I274</f>
        <v>74</v>
      </c>
    </row>
    <row r="275" customFormat="false" ht="15" hidden="false" customHeight="false" outlineLevel="0" collapsed="false">
      <c r="A275" s="29" t="n">
        <v>274</v>
      </c>
      <c r="B275" s="29" t="n">
        <f aca="false">INDEX(Sprint_Metrics!$F$7:$F$16,RANDBETWEEN(1,ROWS(Sprint_Metrics!$F$7:$F$16)))</f>
        <v>7</v>
      </c>
      <c r="C275" s="29" t="n">
        <f aca="false">INDEX(Sprint_Metrics!$F$7:$F$16,RANDBETWEEN(1,ROWS(Sprint_Metrics!$F$7:$F$16)))</f>
        <v>7</v>
      </c>
      <c r="D275" s="29" t="n">
        <f aca="false">INDEX(Sprint_Metrics!$F$7:$F$16,RANDBETWEEN(1,ROWS(Sprint_Metrics!$F$7:$F$16)))</f>
        <v>8</v>
      </c>
      <c r="E275" s="29" t="n">
        <f aca="false">INDEX(Sprint_Metrics!$F$7:$F$16,RANDBETWEEN(1,ROWS(Sprint_Metrics!$F$7:$F$16)))</f>
        <v>8</v>
      </c>
      <c r="F275" s="29" t="n">
        <f aca="false">INDEX(Sprint_Metrics!$F$7:$F$16,RANDBETWEEN(1,ROWS(Sprint_Metrics!$F$7:$F$16)))</f>
        <v>11</v>
      </c>
      <c r="G275" s="29" t="n">
        <f aca="false">INDEX(Sprint_Metrics!$F$7:$F$16,RANDBETWEEN(1,ROWS(Sprint_Metrics!$F$7:$F$16)))</f>
        <v>11</v>
      </c>
      <c r="H275" s="29" t="n">
        <f aca="false">INDEX(Sprint_Metrics!$F$7:$F$16,RANDBETWEEN(1,ROWS(Sprint_Metrics!$F$7:$F$16)))</f>
        <v>9</v>
      </c>
      <c r="I275" s="29" t="n">
        <f aca="false">INDEX(Sprint_Metrics!$F$7:$F$16,RANDBETWEEN(1,ROWS(Sprint_Metrics!$F$7:$F$16)))</f>
        <v>9</v>
      </c>
      <c r="J275" s="29" t="n">
        <f aca="false">B275</f>
        <v>7</v>
      </c>
      <c r="K275" s="29" t="n">
        <f aca="false">J275+C275</f>
        <v>14</v>
      </c>
      <c r="L275" s="29" t="n">
        <f aca="false">K275+D275</f>
        <v>22</v>
      </c>
      <c r="M275" s="29" t="n">
        <f aca="false">L275+E275</f>
        <v>30</v>
      </c>
      <c r="N275" s="29" t="n">
        <f aca="false">M275+F275</f>
        <v>41</v>
      </c>
      <c r="O275" s="29" t="n">
        <f aca="false">N275+G275</f>
        <v>52</v>
      </c>
      <c r="P275" s="29" t="n">
        <f aca="false">O275+H275</f>
        <v>61</v>
      </c>
      <c r="Q275" s="29" t="n">
        <f aca="false">P275+I275</f>
        <v>70</v>
      </c>
    </row>
    <row r="276" customFormat="false" ht="15" hidden="false" customHeight="false" outlineLevel="0" collapsed="false">
      <c r="A276" s="29" t="n">
        <v>275</v>
      </c>
      <c r="B276" s="29" t="n">
        <f aca="false">INDEX(Sprint_Metrics!$F$7:$F$16,RANDBETWEEN(1,ROWS(Sprint_Metrics!$F$7:$F$16)))</f>
        <v>8</v>
      </c>
      <c r="C276" s="29" t="n">
        <f aca="false">INDEX(Sprint_Metrics!$F$7:$F$16,RANDBETWEEN(1,ROWS(Sprint_Metrics!$F$7:$F$16)))</f>
        <v>11</v>
      </c>
      <c r="D276" s="29" t="n">
        <f aca="false">INDEX(Sprint_Metrics!$F$7:$F$16,RANDBETWEEN(1,ROWS(Sprint_Metrics!$F$7:$F$16)))</f>
        <v>9</v>
      </c>
      <c r="E276" s="29" t="n">
        <f aca="false">INDEX(Sprint_Metrics!$F$7:$F$16,RANDBETWEEN(1,ROWS(Sprint_Metrics!$F$7:$F$16)))</f>
        <v>11</v>
      </c>
      <c r="F276" s="29" t="n">
        <f aca="false">INDEX(Sprint_Metrics!$F$7:$F$16,RANDBETWEEN(1,ROWS(Sprint_Metrics!$F$7:$F$16)))</f>
        <v>11</v>
      </c>
      <c r="G276" s="29" t="n">
        <f aca="false">INDEX(Sprint_Metrics!$F$7:$F$16,RANDBETWEEN(1,ROWS(Sprint_Metrics!$F$7:$F$16)))</f>
        <v>8</v>
      </c>
      <c r="H276" s="29" t="n">
        <f aca="false">INDEX(Sprint_Metrics!$F$7:$F$16,RANDBETWEEN(1,ROWS(Sprint_Metrics!$F$7:$F$16)))</f>
        <v>9</v>
      </c>
      <c r="I276" s="29" t="n">
        <f aca="false">INDEX(Sprint_Metrics!$F$7:$F$16,RANDBETWEEN(1,ROWS(Sprint_Metrics!$F$7:$F$16)))</f>
        <v>8</v>
      </c>
      <c r="J276" s="29" t="n">
        <f aca="false">B276</f>
        <v>8</v>
      </c>
      <c r="K276" s="29" t="n">
        <f aca="false">J276+C276</f>
        <v>19</v>
      </c>
      <c r="L276" s="29" t="n">
        <f aca="false">K276+D276</f>
        <v>28</v>
      </c>
      <c r="M276" s="29" t="n">
        <f aca="false">L276+E276</f>
        <v>39</v>
      </c>
      <c r="N276" s="29" t="n">
        <f aca="false">M276+F276</f>
        <v>50</v>
      </c>
      <c r="O276" s="29" t="n">
        <f aca="false">N276+G276</f>
        <v>58</v>
      </c>
      <c r="P276" s="29" t="n">
        <f aca="false">O276+H276</f>
        <v>67</v>
      </c>
      <c r="Q276" s="29" t="n">
        <f aca="false">P276+I276</f>
        <v>75</v>
      </c>
    </row>
    <row r="277" customFormat="false" ht="15" hidden="false" customHeight="false" outlineLevel="0" collapsed="false">
      <c r="A277" s="29" t="n">
        <v>276</v>
      </c>
      <c r="B277" s="29" t="n">
        <f aca="false">INDEX(Sprint_Metrics!$F$7:$F$16,RANDBETWEEN(1,ROWS(Sprint_Metrics!$F$7:$F$16)))</f>
        <v>7</v>
      </c>
      <c r="C277" s="29" t="n">
        <f aca="false">INDEX(Sprint_Metrics!$F$7:$F$16,RANDBETWEEN(1,ROWS(Sprint_Metrics!$F$7:$F$16)))</f>
        <v>8</v>
      </c>
      <c r="D277" s="29" t="n">
        <f aca="false">INDEX(Sprint_Metrics!$F$7:$F$16,RANDBETWEEN(1,ROWS(Sprint_Metrics!$F$7:$F$16)))</f>
        <v>12</v>
      </c>
      <c r="E277" s="29" t="n">
        <f aca="false">INDEX(Sprint_Metrics!$F$7:$F$16,RANDBETWEEN(1,ROWS(Sprint_Metrics!$F$7:$F$16)))</f>
        <v>9</v>
      </c>
      <c r="F277" s="29" t="n">
        <f aca="false">INDEX(Sprint_Metrics!$F$7:$F$16,RANDBETWEEN(1,ROWS(Sprint_Metrics!$F$7:$F$16)))</f>
        <v>8</v>
      </c>
      <c r="G277" s="29" t="n">
        <f aca="false">INDEX(Sprint_Metrics!$F$7:$F$16,RANDBETWEEN(1,ROWS(Sprint_Metrics!$F$7:$F$16)))</f>
        <v>8</v>
      </c>
      <c r="H277" s="29" t="n">
        <f aca="false">INDEX(Sprint_Metrics!$F$7:$F$16,RANDBETWEEN(1,ROWS(Sprint_Metrics!$F$7:$F$16)))</f>
        <v>11</v>
      </c>
      <c r="I277" s="29" t="n">
        <f aca="false">INDEX(Sprint_Metrics!$F$7:$F$16,RANDBETWEEN(1,ROWS(Sprint_Metrics!$F$7:$F$16)))</f>
        <v>11</v>
      </c>
      <c r="J277" s="29" t="n">
        <f aca="false">B277</f>
        <v>7</v>
      </c>
      <c r="K277" s="29" t="n">
        <f aca="false">J277+C277</f>
        <v>15</v>
      </c>
      <c r="L277" s="29" t="n">
        <f aca="false">K277+D277</f>
        <v>27</v>
      </c>
      <c r="M277" s="29" t="n">
        <f aca="false">L277+E277</f>
        <v>36</v>
      </c>
      <c r="N277" s="29" t="n">
        <f aca="false">M277+F277</f>
        <v>44</v>
      </c>
      <c r="O277" s="29" t="n">
        <f aca="false">N277+G277</f>
        <v>52</v>
      </c>
      <c r="P277" s="29" t="n">
        <f aca="false">O277+H277</f>
        <v>63</v>
      </c>
      <c r="Q277" s="29" t="n">
        <f aca="false">P277+I277</f>
        <v>74</v>
      </c>
    </row>
    <row r="278" customFormat="false" ht="15" hidden="false" customHeight="false" outlineLevel="0" collapsed="false">
      <c r="A278" s="29" t="n">
        <v>277</v>
      </c>
      <c r="B278" s="29" t="n">
        <f aca="false">INDEX(Sprint_Metrics!$F$7:$F$16,RANDBETWEEN(1,ROWS(Sprint_Metrics!$F$7:$F$16)))</f>
        <v>11</v>
      </c>
      <c r="C278" s="29" t="n">
        <f aca="false">INDEX(Sprint_Metrics!$F$7:$F$16,RANDBETWEEN(1,ROWS(Sprint_Metrics!$F$7:$F$16)))</f>
        <v>9</v>
      </c>
      <c r="D278" s="29" t="n">
        <f aca="false">INDEX(Sprint_Metrics!$F$7:$F$16,RANDBETWEEN(1,ROWS(Sprint_Metrics!$F$7:$F$16)))</f>
        <v>11</v>
      </c>
      <c r="E278" s="29" t="n">
        <f aca="false">INDEX(Sprint_Metrics!$F$7:$F$16,RANDBETWEEN(1,ROWS(Sprint_Metrics!$F$7:$F$16)))</f>
        <v>12</v>
      </c>
      <c r="F278" s="29" t="n">
        <f aca="false">INDEX(Sprint_Metrics!$F$7:$F$16,RANDBETWEEN(1,ROWS(Sprint_Metrics!$F$7:$F$16)))</f>
        <v>11</v>
      </c>
      <c r="G278" s="29" t="n">
        <f aca="false">INDEX(Sprint_Metrics!$F$7:$F$16,RANDBETWEEN(1,ROWS(Sprint_Metrics!$F$7:$F$16)))</f>
        <v>8</v>
      </c>
      <c r="H278" s="29" t="n">
        <f aca="false">INDEX(Sprint_Metrics!$F$7:$F$16,RANDBETWEEN(1,ROWS(Sprint_Metrics!$F$7:$F$16)))</f>
        <v>7</v>
      </c>
      <c r="I278" s="29" t="n">
        <f aca="false">INDEX(Sprint_Metrics!$F$7:$F$16,RANDBETWEEN(1,ROWS(Sprint_Metrics!$F$7:$F$16)))</f>
        <v>11</v>
      </c>
      <c r="J278" s="29" t="n">
        <f aca="false">B278</f>
        <v>11</v>
      </c>
      <c r="K278" s="29" t="n">
        <f aca="false">J278+C278</f>
        <v>20</v>
      </c>
      <c r="L278" s="29" t="n">
        <f aca="false">K278+D278</f>
        <v>31</v>
      </c>
      <c r="M278" s="29" t="n">
        <f aca="false">L278+E278</f>
        <v>43</v>
      </c>
      <c r="N278" s="29" t="n">
        <f aca="false">M278+F278</f>
        <v>54</v>
      </c>
      <c r="O278" s="29" t="n">
        <f aca="false">N278+G278</f>
        <v>62</v>
      </c>
      <c r="P278" s="29" t="n">
        <f aca="false">O278+H278</f>
        <v>69</v>
      </c>
      <c r="Q278" s="29" t="n">
        <f aca="false">P278+I278</f>
        <v>80</v>
      </c>
    </row>
    <row r="279" customFormat="false" ht="15" hidden="false" customHeight="false" outlineLevel="0" collapsed="false">
      <c r="A279" s="29" t="n">
        <v>278</v>
      </c>
      <c r="B279" s="29" t="n">
        <f aca="false">INDEX(Sprint_Metrics!$F$7:$F$16,RANDBETWEEN(1,ROWS(Sprint_Metrics!$F$7:$F$16)))</f>
        <v>8</v>
      </c>
      <c r="C279" s="29" t="n">
        <f aca="false">INDEX(Sprint_Metrics!$F$7:$F$16,RANDBETWEEN(1,ROWS(Sprint_Metrics!$F$7:$F$16)))</f>
        <v>9</v>
      </c>
      <c r="D279" s="29" t="n">
        <f aca="false">INDEX(Sprint_Metrics!$F$7:$F$16,RANDBETWEEN(1,ROWS(Sprint_Metrics!$F$7:$F$16)))</f>
        <v>11</v>
      </c>
      <c r="E279" s="29" t="n">
        <f aca="false">INDEX(Sprint_Metrics!$F$7:$F$16,RANDBETWEEN(1,ROWS(Sprint_Metrics!$F$7:$F$16)))</f>
        <v>8</v>
      </c>
      <c r="F279" s="29" t="n">
        <f aca="false">INDEX(Sprint_Metrics!$F$7:$F$16,RANDBETWEEN(1,ROWS(Sprint_Metrics!$F$7:$F$16)))</f>
        <v>11</v>
      </c>
      <c r="G279" s="29" t="n">
        <f aca="false">INDEX(Sprint_Metrics!$F$7:$F$16,RANDBETWEEN(1,ROWS(Sprint_Metrics!$F$7:$F$16)))</f>
        <v>8</v>
      </c>
      <c r="H279" s="29" t="n">
        <f aca="false">INDEX(Sprint_Metrics!$F$7:$F$16,RANDBETWEEN(1,ROWS(Sprint_Metrics!$F$7:$F$16)))</f>
        <v>11</v>
      </c>
      <c r="I279" s="29" t="n">
        <f aca="false">INDEX(Sprint_Metrics!$F$7:$F$16,RANDBETWEEN(1,ROWS(Sprint_Metrics!$F$7:$F$16)))</f>
        <v>8</v>
      </c>
      <c r="J279" s="29" t="n">
        <f aca="false">B279</f>
        <v>8</v>
      </c>
      <c r="K279" s="29" t="n">
        <f aca="false">J279+C279</f>
        <v>17</v>
      </c>
      <c r="L279" s="29" t="n">
        <f aca="false">K279+D279</f>
        <v>28</v>
      </c>
      <c r="M279" s="29" t="n">
        <f aca="false">L279+E279</f>
        <v>36</v>
      </c>
      <c r="N279" s="29" t="n">
        <f aca="false">M279+F279</f>
        <v>47</v>
      </c>
      <c r="O279" s="29" t="n">
        <f aca="false">N279+G279</f>
        <v>55</v>
      </c>
      <c r="P279" s="29" t="n">
        <f aca="false">O279+H279</f>
        <v>66</v>
      </c>
      <c r="Q279" s="29" t="n">
        <f aca="false">P279+I279</f>
        <v>74</v>
      </c>
    </row>
    <row r="280" customFormat="false" ht="15" hidden="false" customHeight="false" outlineLevel="0" collapsed="false">
      <c r="A280" s="29" t="n">
        <v>279</v>
      </c>
      <c r="B280" s="29" t="n">
        <f aca="false">INDEX(Sprint_Metrics!$F$7:$F$16,RANDBETWEEN(1,ROWS(Sprint_Metrics!$F$7:$F$16)))</f>
        <v>8</v>
      </c>
      <c r="C280" s="29" t="n">
        <f aca="false">INDEX(Sprint_Metrics!$F$7:$F$16,RANDBETWEEN(1,ROWS(Sprint_Metrics!$F$7:$F$16)))</f>
        <v>7</v>
      </c>
      <c r="D280" s="29" t="n">
        <f aca="false">INDEX(Sprint_Metrics!$F$7:$F$16,RANDBETWEEN(1,ROWS(Sprint_Metrics!$F$7:$F$16)))</f>
        <v>12</v>
      </c>
      <c r="E280" s="29" t="n">
        <f aca="false">INDEX(Sprint_Metrics!$F$7:$F$16,RANDBETWEEN(1,ROWS(Sprint_Metrics!$F$7:$F$16)))</f>
        <v>9</v>
      </c>
      <c r="F280" s="29" t="n">
        <f aca="false">INDEX(Sprint_Metrics!$F$7:$F$16,RANDBETWEEN(1,ROWS(Sprint_Metrics!$F$7:$F$16)))</f>
        <v>12</v>
      </c>
      <c r="G280" s="29" t="n">
        <f aca="false">INDEX(Sprint_Metrics!$F$7:$F$16,RANDBETWEEN(1,ROWS(Sprint_Metrics!$F$7:$F$16)))</f>
        <v>11</v>
      </c>
      <c r="H280" s="29" t="n">
        <f aca="false">INDEX(Sprint_Metrics!$F$7:$F$16,RANDBETWEEN(1,ROWS(Sprint_Metrics!$F$7:$F$16)))</f>
        <v>8</v>
      </c>
      <c r="I280" s="29" t="n">
        <f aca="false">INDEX(Sprint_Metrics!$F$7:$F$16,RANDBETWEEN(1,ROWS(Sprint_Metrics!$F$7:$F$16)))</f>
        <v>9</v>
      </c>
      <c r="J280" s="29" t="n">
        <f aca="false">B280</f>
        <v>8</v>
      </c>
      <c r="K280" s="29" t="n">
        <f aca="false">J280+C280</f>
        <v>15</v>
      </c>
      <c r="L280" s="29" t="n">
        <f aca="false">K280+D280</f>
        <v>27</v>
      </c>
      <c r="M280" s="29" t="n">
        <f aca="false">L280+E280</f>
        <v>36</v>
      </c>
      <c r="N280" s="29" t="n">
        <f aca="false">M280+F280</f>
        <v>48</v>
      </c>
      <c r="O280" s="29" t="n">
        <f aca="false">N280+G280</f>
        <v>59</v>
      </c>
      <c r="P280" s="29" t="n">
        <f aca="false">O280+H280</f>
        <v>67</v>
      </c>
      <c r="Q280" s="29" t="n">
        <f aca="false">P280+I280</f>
        <v>76</v>
      </c>
    </row>
    <row r="281" customFormat="false" ht="15" hidden="false" customHeight="false" outlineLevel="0" collapsed="false">
      <c r="A281" s="29" t="n">
        <v>280</v>
      </c>
      <c r="B281" s="29" t="n">
        <f aca="false">INDEX(Sprint_Metrics!$F$7:$F$16,RANDBETWEEN(1,ROWS(Sprint_Metrics!$F$7:$F$16)))</f>
        <v>11</v>
      </c>
      <c r="C281" s="29" t="n">
        <f aca="false">INDEX(Sprint_Metrics!$F$7:$F$16,RANDBETWEEN(1,ROWS(Sprint_Metrics!$F$7:$F$16)))</f>
        <v>11</v>
      </c>
      <c r="D281" s="29" t="n">
        <f aca="false">INDEX(Sprint_Metrics!$F$7:$F$16,RANDBETWEEN(1,ROWS(Sprint_Metrics!$F$7:$F$16)))</f>
        <v>9</v>
      </c>
      <c r="E281" s="29" t="n">
        <f aca="false">INDEX(Sprint_Metrics!$F$7:$F$16,RANDBETWEEN(1,ROWS(Sprint_Metrics!$F$7:$F$16)))</f>
        <v>9</v>
      </c>
      <c r="F281" s="29" t="n">
        <f aca="false">INDEX(Sprint_Metrics!$F$7:$F$16,RANDBETWEEN(1,ROWS(Sprint_Metrics!$F$7:$F$16)))</f>
        <v>9</v>
      </c>
      <c r="G281" s="29" t="n">
        <f aca="false">INDEX(Sprint_Metrics!$F$7:$F$16,RANDBETWEEN(1,ROWS(Sprint_Metrics!$F$7:$F$16)))</f>
        <v>8</v>
      </c>
      <c r="H281" s="29" t="n">
        <f aca="false">INDEX(Sprint_Metrics!$F$7:$F$16,RANDBETWEEN(1,ROWS(Sprint_Metrics!$F$7:$F$16)))</f>
        <v>9</v>
      </c>
      <c r="I281" s="29" t="n">
        <f aca="false">INDEX(Sprint_Metrics!$F$7:$F$16,RANDBETWEEN(1,ROWS(Sprint_Metrics!$F$7:$F$16)))</f>
        <v>12</v>
      </c>
      <c r="J281" s="29" t="n">
        <f aca="false">B281</f>
        <v>11</v>
      </c>
      <c r="K281" s="29" t="n">
        <f aca="false">J281+C281</f>
        <v>22</v>
      </c>
      <c r="L281" s="29" t="n">
        <f aca="false">K281+D281</f>
        <v>31</v>
      </c>
      <c r="M281" s="29" t="n">
        <f aca="false">L281+E281</f>
        <v>40</v>
      </c>
      <c r="N281" s="29" t="n">
        <f aca="false">M281+F281</f>
        <v>49</v>
      </c>
      <c r="O281" s="29" t="n">
        <f aca="false">N281+G281</f>
        <v>57</v>
      </c>
      <c r="P281" s="29" t="n">
        <f aca="false">O281+H281</f>
        <v>66</v>
      </c>
      <c r="Q281" s="29" t="n">
        <f aca="false">P281+I281</f>
        <v>78</v>
      </c>
    </row>
    <row r="282" customFormat="false" ht="15" hidden="false" customHeight="false" outlineLevel="0" collapsed="false">
      <c r="A282" s="29" t="n">
        <v>281</v>
      </c>
      <c r="B282" s="29" t="n">
        <f aca="false">INDEX(Sprint_Metrics!$F$7:$F$16,RANDBETWEEN(1,ROWS(Sprint_Metrics!$F$7:$F$16)))</f>
        <v>11</v>
      </c>
      <c r="C282" s="29" t="n">
        <f aca="false">INDEX(Sprint_Metrics!$F$7:$F$16,RANDBETWEEN(1,ROWS(Sprint_Metrics!$F$7:$F$16)))</f>
        <v>8</v>
      </c>
      <c r="D282" s="29" t="n">
        <f aca="false">INDEX(Sprint_Metrics!$F$7:$F$16,RANDBETWEEN(1,ROWS(Sprint_Metrics!$F$7:$F$16)))</f>
        <v>9</v>
      </c>
      <c r="E282" s="29" t="n">
        <f aca="false">INDEX(Sprint_Metrics!$F$7:$F$16,RANDBETWEEN(1,ROWS(Sprint_Metrics!$F$7:$F$16)))</f>
        <v>11</v>
      </c>
      <c r="F282" s="29" t="n">
        <f aca="false">INDEX(Sprint_Metrics!$F$7:$F$16,RANDBETWEEN(1,ROWS(Sprint_Metrics!$F$7:$F$16)))</f>
        <v>8</v>
      </c>
      <c r="G282" s="29" t="n">
        <f aca="false">INDEX(Sprint_Metrics!$F$7:$F$16,RANDBETWEEN(1,ROWS(Sprint_Metrics!$F$7:$F$16)))</f>
        <v>7</v>
      </c>
      <c r="H282" s="29" t="n">
        <f aca="false">INDEX(Sprint_Metrics!$F$7:$F$16,RANDBETWEEN(1,ROWS(Sprint_Metrics!$F$7:$F$16)))</f>
        <v>8</v>
      </c>
      <c r="I282" s="29" t="n">
        <f aca="false">INDEX(Sprint_Metrics!$F$7:$F$16,RANDBETWEEN(1,ROWS(Sprint_Metrics!$F$7:$F$16)))</f>
        <v>11</v>
      </c>
      <c r="J282" s="29" t="n">
        <f aca="false">B282</f>
        <v>11</v>
      </c>
      <c r="K282" s="29" t="n">
        <f aca="false">J282+C282</f>
        <v>19</v>
      </c>
      <c r="L282" s="29" t="n">
        <f aca="false">K282+D282</f>
        <v>28</v>
      </c>
      <c r="M282" s="29" t="n">
        <f aca="false">L282+E282</f>
        <v>39</v>
      </c>
      <c r="N282" s="29" t="n">
        <f aca="false">M282+F282</f>
        <v>47</v>
      </c>
      <c r="O282" s="29" t="n">
        <f aca="false">N282+G282</f>
        <v>54</v>
      </c>
      <c r="P282" s="29" t="n">
        <f aca="false">O282+H282</f>
        <v>62</v>
      </c>
      <c r="Q282" s="29" t="n">
        <f aca="false">P282+I282</f>
        <v>73</v>
      </c>
    </row>
    <row r="283" customFormat="false" ht="15" hidden="false" customHeight="false" outlineLevel="0" collapsed="false">
      <c r="A283" s="29" t="n">
        <v>282</v>
      </c>
      <c r="B283" s="29" t="n">
        <f aca="false">INDEX(Sprint_Metrics!$F$7:$F$16,RANDBETWEEN(1,ROWS(Sprint_Metrics!$F$7:$F$16)))</f>
        <v>11</v>
      </c>
      <c r="C283" s="29" t="n">
        <f aca="false">INDEX(Sprint_Metrics!$F$7:$F$16,RANDBETWEEN(1,ROWS(Sprint_Metrics!$F$7:$F$16)))</f>
        <v>11</v>
      </c>
      <c r="D283" s="29" t="n">
        <f aca="false">INDEX(Sprint_Metrics!$F$7:$F$16,RANDBETWEEN(1,ROWS(Sprint_Metrics!$F$7:$F$16)))</f>
        <v>8</v>
      </c>
      <c r="E283" s="29" t="n">
        <f aca="false">INDEX(Sprint_Metrics!$F$7:$F$16,RANDBETWEEN(1,ROWS(Sprint_Metrics!$F$7:$F$16)))</f>
        <v>8</v>
      </c>
      <c r="F283" s="29" t="n">
        <f aca="false">INDEX(Sprint_Metrics!$F$7:$F$16,RANDBETWEEN(1,ROWS(Sprint_Metrics!$F$7:$F$16)))</f>
        <v>8</v>
      </c>
      <c r="G283" s="29" t="n">
        <f aca="false">INDEX(Sprint_Metrics!$F$7:$F$16,RANDBETWEEN(1,ROWS(Sprint_Metrics!$F$7:$F$16)))</f>
        <v>7</v>
      </c>
      <c r="H283" s="29" t="n">
        <f aca="false">INDEX(Sprint_Metrics!$F$7:$F$16,RANDBETWEEN(1,ROWS(Sprint_Metrics!$F$7:$F$16)))</f>
        <v>12</v>
      </c>
      <c r="I283" s="29" t="n">
        <f aca="false">INDEX(Sprint_Metrics!$F$7:$F$16,RANDBETWEEN(1,ROWS(Sprint_Metrics!$F$7:$F$16)))</f>
        <v>12</v>
      </c>
      <c r="J283" s="29" t="n">
        <f aca="false">B283</f>
        <v>11</v>
      </c>
      <c r="K283" s="29" t="n">
        <f aca="false">J283+C283</f>
        <v>22</v>
      </c>
      <c r="L283" s="29" t="n">
        <f aca="false">K283+D283</f>
        <v>30</v>
      </c>
      <c r="M283" s="29" t="n">
        <f aca="false">L283+E283</f>
        <v>38</v>
      </c>
      <c r="N283" s="29" t="n">
        <f aca="false">M283+F283</f>
        <v>46</v>
      </c>
      <c r="O283" s="29" t="n">
        <f aca="false">N283+G283</f>
        <v>53</v>
      </c>
      <c r="P283" s="29" t="n">
        <f aca="false">O283+H283</f>
        <v>65</v>
      </c>
      <c r="Q283" s="29" t="n">
        <f aca="false">P283+I283</f>
        <v>77</v>
      </c>
    </row>
    <row r="284" customFormat="false" ht="15" hidden="false" customHeight="false" outlineLevel="0" collapsed="false">
      <c r="A284" s="29" t="n">
        <v>283</v>
      </c>
      <c r="B284" s="29" t="n">
        <f aca="false">INDEX(Sprint_Metrics!$F$7:$F$16,RANDBETWEEN(1,ROWS(Sprint_Metrics!$F$7:$F$16)))</f>
        <v>8</v>
      </c>
      <c r="C284" s="29" t="n">
        <f aca="false">INDEX(Sprint_Metrics!$F$7:$F$16,RANDBETWEEN(1,ROWS(Sprint_Metrics!$F$7:$F$16)))</f>
        <v>9</v>
      </c>
      <c r="D284" s="29" t="n">
        <f aca="false">INDEX(Sprint_Metrics!$F$7:$F$16,RANDBETWEEN(1,ROWS(Sprint_Metrics!$F$7:$F$16)))</f>
        <v>11</v>
      </c>
      <c r="E284" s="29" t="n">
        <f aca="false">INDEX(Sprint_Metrics!$F$7:$F$16,RANDBETWEEN(1,ROWS(Sprint_Metrics!$F$7:$F$16)))</f>
        <v>7</v>
      </c>
      <c r="F284" s="29" t="n">
        <f aca="false">INDEX(Sprint_Metrics!$F$7:$F$16,RANDBETWEEN(1,ROWS(Sprint_Metrics!$F$7:$F$16)))</f>
        <v>12</v>
      </c>
      <c r="G284" s="29" t="n">
        <f aca="false">INDEX(Sprint_Metrics!$F$7:$F$16,RANDBETWEEN(1,ROWS(Sprint_Metrics!$F$7:$F$16)))</f>
        <v>9</v>
      </c>
      <c r="H284" s="29" t="n">
        <f aca="false">INDEX(Sprint_Metrics!$F$7:$F$16,RANDBETWEEN(1,ROWS(Sprint_Metrics!$F$7:$F$16)))</f>
        <v>11</v>
      </c>
      <c r="I284" s="29" t="n">
        <f aca="false">INDEX(Sprint_Metrics!$F$7:$F$16,RANDBETWEEN(1,ROWS(Sprint_Metrics!$F$7:$F$16)))</f>
        <v>8</v>
      </c>
      <c r="J284" s="29" t="n">
        <f aca="false">B284</f>
        <v>8</v>
      </c>
      <c r="K284" s="29" t="n">
        <f aca="false">J284+C284</f>
        <v>17</v>
      </c>
      <c r="L284" s="29" t="n">
        <f aca="false">K284+D284</f>
        <v>28</v>
      </c>
      <c r="M284" s="29" t="n">
        <f aca="false">L284+E284</f>
        <v>35</v>
      </c>
      <c r="N284" s="29" t="n">
        <f aca="false">M284+F284</f>
        <v>47</v>
      </c>
      <c r="O284" s="29" t="n">
        <f aca="false">N284+G284</f>
        <v>56</v>
      </c>
      <c r="P284" s="29" t="n">
        <f aca="false">O284+H284</f>
        <v>67</v>
      </c>
      <c r="Q284" s="29" t="n">
        <f aca="false">P284+I284</f>
        <v>75</v>
      </c>
    </row>
    <row r="285" customFormat="false" ht="15" hidden="false" customHeight="false" outlineLevel="0" collapsed="false">
      <c r="A285" s="29" t="n">
        <v>284</v>
      </c>
      <c r="B285" s="29" t="n">
        <f aca="false">INDEX(Sprint_Metrics!$F$7:$F$16,RANDBETWEEN(1,ROWS(Sprint_Metrics!$F$7:$F$16)))</f>
        <v>12</v>
      </c>
      <c r="C285" s="29" t="n">
        <f aca="false">INDEX(Sprint_Metrics!$F$7:$F$16,RANDBETWEEN(1,ROWS(Sprint_Metrics!$F$7:$F$16)))</f>
        <v>12</v>
      </c>
      <c r="D285" s="29" t="n">
        <f aca="false">INDEX(Sprint_Metrics!$F$7:$F$16,RANDBETWEEN(1,ROWS(Sprint_Metrics!$F$7:$F$16)))</f>
        <v>8</v>
      </c>
      <c r="E285" s="29" t="n">
        <f aca="false">INDEX(Sprint_Metrics!$F$7:$F$16,RANDBETWEEN(1,ROWS(Sprint_Metrics!$F$7:$F$16)))</f>
        <v>8</v>
      </c>
      <c r="F285" s="29" t="n">
        <f aca="false">INDEX(Sprint_Metrics!$F$7:$F$16,RANDBETWEEN(1,ROWS(Sprint_Metrics!$F$7:$F$16)))</f>
        <v>8</v>
      </c>
      <c r="G285" s="29" t="n">
        <f aca="false">INDEX(Sprint_Metrics!$F$7:$F$16,RANDBETWEEN(1,ROWS(Sprint_Metrics!$F$7:$F$16)))</f>
        <v>8</v>
      </c>
      <c r="H285" s="29" t="n">
        <f aca="false">INDEX(Sprint_Metrics!$F$7:$F$16,RANDBETWEEN(1,ROWS(Sprint_Metrics!$F$7:$F$16)))</f>
        <v>8</v>
      </c>
      <c r="I285" s="29" t="n">
        <f aca="false">INDEX(Sprint_Metrics!$F$7:$F$16,RANDBETWEEN(1,ROWS(Sprint_Metrics!$F$7:$F$16)))</f>
        <v>9</v>
      </c>
      <c r="J285" s="29" t="n">
        <f aca="false">B285</f>
        <v>12</v>
      </c>
      <c r="K285" s="29" t="n">
        <f aca="false">J285+C285</f>
        <v>24</v>
      </c>
      <c r="L285" s="29" t="n">
        <f aca="false">K285+D285</f>
        <v>32</v>
      </c>
      <c r="M285" s="29" t="n">
        <f aca="false">L285+E285</f>
        <v>40</v>
      </c>
      <c r="N285" s="29" t="n">
        <f aca="false">M285+F285</f>
        <v>48</v>
      </c>
      <c r="O285" s="29" t="n">
        <f aca="false">N285+G285</f>
        <v>56</v>
      </c>
      <c r="P285" s="29" t="n">
        <f aca="false">O285+H285</f>
        <v>64</v>
      </c>
      <c r="Q285" s="29" t="n">
        <f aca="false">P285+I285</f>
        <v>73</v>
      </c>
    </row>
    <row r="286" customFormat="false" ht="15" hidden="false" customHeight="false" outlineLevel="0" collapsed="false">
      <c r="A286" s="29" t="n">
        <v>285</v>
      </c>
      <c r="B286" s="29" t="n">
        <f aca="false">INDEX(Sprint_Metrics!$F$7:$F$16,RANDBETWEEN(1,ROWS(Sprint_Metrics!$F$7:$F$16)))</f>
        <v>11</v>
      </c>
      <c r="C286" s="29" t="n">
        <f aca="false">INDEX(Sprint_Metrics!$F$7:$F$16,RANDBETWEEN(1,ROWS(Sprint_Metrics!$F$7:$F$16)))</f>
        <v>7</v>
      </c>
      <c r="D286" s="29" t="n">
        <f aca="false">INDEX(Sprint_Metrics!$F$7:$F$16,RANDBETWEEN(1,ROWS(Sprint_Metrics!$F$7:$F$16)))</f>
        <v>9</v>
      </c>
      <c r="E286" s="29" t="n">
        <f aca="false">INDEX(Sprint_Metrics!$F$7:$F$16,RANDBETWEEN(1,ROWS(Sprint_Metrics!$F$7:$F$16)))</f>
        <v>8</v>
      </c>
      <c r="F286" s="29" t="n">
        <f aca="false">INDEX(Sprint_Metrics!$F$7:$F$16,RANDBETWEEN(1,ROWS(Sprint_Metrics!$F$7:$F$16)))</f>
        <v>8</v>
      </c>
      <c r="G286" s="29" t="n">
        <f aca="false">INDEX(Sprint_Metrics!$F$7:$F$16,RANDBETWEEN(1,ROWS(Sprint_Metrics!$F$7:$F$16)))</f>
        <v>8</v>
      </c>
      <c r="H286" s="29" t="n">
        <f aca="false">INDEX(Sprint_Metrics!$F$7:$F$16,RANDBETWEEN(1,ROWS(Sprint_Metrics!$F$7:$F$16)))</f>
        <v>9</v>
      </c>
      <c r="I286" s="29" t="n">
        <f aca="false">INDEX(Sprint_Metrics!$F$7:$F$16,RANDBETWEEN(1,ROWS(Sprint_Metrics!$F$7:$F$16)))</f>
        <v>7</v>
      </c>
      <c r="J286" s="29" t="n">
        <f aca="false">B286</f>
        <v>11</v>
      </c>
      <c r="K286" s="29" t="n">
        <f aca="false">J286+C286</f>
        <v>18</v>
      </c>
      <c r="L286" s="29" t="n">
        <f aca="false">K286+D286</f>
        <v>27</v>
      </c>
      <c r="M286" s="29" t="n">
        <f aca="false">L286+E286</f>
        <v>35</v>
      </c>
      <c r="N286" s="29" t="n">
        <f aca="false">M286+F286</f>
        <v>43</v>
      </c>
      <c r="O286" s="29" t="n">
        <f aca="false">N286+G286</f>
        <v>51</v>
      </c>
      <c r="P286" s="29" t="n">
        <f aca="false">O286+H286</f>
        <v>60</v>
      </c>
      <c r="Q286" s="29" t="n">
        <f aca="false">P286+I286</f>
        <v>67</v>
      </c>
    </row>
    <row r="287" customFormat="false" ht="15" hidden="false" customHeight="false" outlineLevel="0" collapsed="false">
      <c r="A287" s="29" t="n">
        <v>286</v>
      </c>
      <c r="B287" s="29" t="n">
        <f aca="false">INDEX(Sprint_Metrics!$F$7:$F$16,RANDBETWEEN(1,ROWS(Sprint_Metrics!$F$7:$F$16)))</f>
        <v>7</v>
      </c>
      <c r="C287" s="29" t="n">
        <f aca="false">INDEX(Sprint_Metrics!$F$7:$F$16,RANDBETWEEN(1,ROWS(Sprint_Metrics!$F$7:$F$16)))</f>
        <v>9</v>
      </c>
      <c r="D287" s="29" t="n">
        <f aca="false">INDEX(Sprint_Metrics!$F$7:$F$16,RANDBETWEEN(1,ROWS(Sprint_Metrics!$F$7:$F$16)))</f>
        <v>7</v>
      </c>
      <c r="E287" s="29" t="n">
        <f aca="false">INDEX(Sprint_Metrics!$F$7:$F$16,RANDBETWEEN(1,ROWS(Sprint_Metrics!$F$7:$F$16)))</f>
        <v>8</v>
      </c>
      <c r="F287" s="29" t="n">
        <f aca="false">INDEX(Sprint_Metrics!$F$7:$F$16,RANDBETWEEN(1,ROWS(Sprint_Metrics!$F$7:$F$16)))</f>
        <v>9</v>
      </c>
      <c r="G287" s="29" t="n">
        <f aca="false">INDEX(Sprint_Metrics!$F$7:$F$16,RANDBETWEEN(1,ROWS(Sprint_Metrics!$F$7:$F$16)))</f>
        <v>9</v>
      </c>
      <c r="H287" s="29" t="n">
        <f aca="false">INDEX(Sprint_Metrics!$F$7:$F$16,RANDBETWEEN(1,ROWS(Sprint_Metrics!$F$7:$F$16)))</f>
        <v>9</v>
      </c>
      <c r="I287" s="29" t="n">
        <f aca="false">INDEX(Sprint_Metrics!$F$7:$F$16,RANDBETWEEN(1,ROWS(Sprint_Metrics!$F$7:$F$16)))</f>
        <v>7</v>
      </c>
      <c r="J287" s="29" t="n">
        <f aca="false">B287</f>
        <v>7</v>
      </c>
      <c r="K287" s="29" t="n">
        <f aca="false">J287+C287</f>
        <v>16</v>
      </c>
      <c r="L287" s="29" t="n">
        <f aca="false">K287+D287</f>
        <v>23</v>
      </c>
      <c r="M287" s="29" t="n">
        <f aca="false">L287+E287</f>
        <v>31</v>
      </c>
      <c r="N287" s="29" t="n">
        <f aca="false">M287+F287</f>
        <v>40</v>
      </c>
      <c r="O287" s="29" t="n">
        <f aca="false">N287+G287</f>
        <v>49</v>
      </c>
      <c r="P287" s="29" t="n">
        <f aca="false">O287+H287</f>
        <v>58</v>
      </c>
      <c r="Q287" s="29" t="n">
        <f aca="false">P287+I287</f>
        <v>65</v>
      </c>
    </row>
    <row r="288" customFormat="false" ht="15" hidden="false" customHeight="false" outlineLevel="0" collapsed="false">
      <c r="A288" s="29" t="n">
        <v>287</v>
      </c>
      <c r="B288" s="29" t="n">
        <f aca="false">INDEX(Sprint_Metrics!$F$7:$F$16,RANDBETWEEN(1,ROWS(Sprint_Metrics!$F$7:$F$16)))</f>
        <v>9</v>
      </c>
      <c r="C288" s="29" t="n">
        <f aca="false">INDEX(Sprint_Metrics!$F$7:$F$16,RANDBETWEEN(1,ROWS(Sprint_Metrics!$F$7:$F$16)))</f>
        <v>7</v>
      </c>
      <c r="D288" s="29" t="n">
        <f aca="false">INDEX(Sprint_Metrics!$F$7:$F$16,RANDBETWEEN(1,ROWS(Sprint_Metrics!$F$7:$F$16)))</f>
        <v>11</v>
      </c>
      <c r="E288" s="29" t="n">
        <f aca="false">INDEX(Sprint_Metrics!$F$7:$F$16,RANDBETWEEN(1,ROWS(Sprint_Metrics!$F$7:$F$16)))</f>
        <v>12</v>
      </c>
      <c r="F288" s="29" t="n">
        <f aca="false">INDEX(Sprint_Metrics!$F$7:$F$16,RANDBETWEEN(1,ROWS(Sprint_Metrics!$F$7:$F$16)))</f>
        <v>7</v>
      </c>
      <c r="G288" s="29" t="n">
        <f aca="false">INDEX(Sprint_Metrics!$F$7:$F$16,RANDBETWEEN(1,ROWS(Sprint_Metrics!$F$7:$F$16)))</f>
        <v>8</v>
      </c>
      <c r="H288" s="29" t="n">
        <f aca="false">INDEX(Sprint_Metrics!$F$7:$F$16,RANDBETWEEN(1,ROWS(Sprint_Metrics!$F$7:$F$16)))</f>
        <v>8</v>
      </c>
      <c r="I288" s="29" t="n">
        <f aca="false">INDEX(Sprint_Metrics!$F$7:$F$16,RANDBETWEEN(1,ROWS(Sprint_Metrics!$F$7:$F$16)))</f>
        <v>11</v>
      </c>
      <c r="J288" s="29" t="n">
        <f aca="false">B288</f>
        <v>9</v>
      </c>
      <c r="K288" s="29" t="n">
        <f aca="false">J288+C288</f>
        <v>16</v>
      </c>
      <c r="L288" s="29" t="n">
        <f aca="false">K288+D288</f>
        <v>27</v>
      </c>
      <c r="M288" s="29" t="n">
        <f aca="false">L288+E288</f>
        <v>39</v>
      </c>
      <c r="N288" s="29" t="n">
        <f aca="false">M288+F288</f>
        <v>46</v>
      </c>
      <c r="O288" s="29" t="n">
        <f aca="false">N288+G288</f>
        <v>54</v>
      </c>
      <c r="P288" s="29" t="n">
        <f aca="false">O288+H288</f>
        <v>62</v>
      </c>
      <c r="Q288" s="29" t="n">
        <f aca="false">P288+I288</f>
        <v>73</v>
      </c>
    </row>
    <row r="289" customFormat="false" ht="15" hidden="false" customHeight="false" outlineLevel="0" collapsed="false">
      <c r="A289" s="29" t="n">
        <v>288</v>
      </c>
      <c r="B289" s="29" t="n">
        <f aca="false">INDEX(Sprint_Metrics!$F$7:$F$16,RANDBETWEEN(1,ROWS(Sprint_Metrics!$F$7:$F$16)))</f>
        <v>12</v>
      </c>
      <c r="C289" s="29" t="n">
        <f aca="false">INDEX(Sprint_Metrics!$F$7:$F$16,RANDBETWEEN(1,ROWS(Sprint_Metrics!$F$7:$F$16)))</f>
        <v>12</v>
      </c>
      <c r="D289" s="29" t="n">
        <f aca="false">INDEX(Sprint_Metrics!$F$7:$F$16,RANDBETWEEN(1,ROWS(Sprint_Metrics!$F$7:$F$16)))</f>
        <v>8</v>
      </c>
      <c r="E289" s="29" t="n">
        <f aca="false">INDEX(Sprint_Metrics!$F$7:$F$16,RANDBETWEEN(1,ROWS(Sprint_Metrics!$F$7:$F$16)))</f>
        <v>8</v>
      </c>
      <c r="F289" s="29" t="n">
        <f aca="false">INDEX(Sprint_Metrics!$F$7:$F$16,RANDBETWEEN(1,ROWS(Sprint_Metrics!$F$7:$F$16)))</f>
        <v>11</v>
      </c>
      <c r="G289" s="29" t="n">
        <f aca="false">INDEX(Sprint_Metrics!$F$7:$F$16,RANDBETWEEN(1,ROWS(Sprint_Metrics!$F$7:$F$16)))</f>
        <v>9</v>
      </c>
      <c r="H289" s="29" t="n">
        <f aca="false">INDEX(Sprint_Metrics!$F$7:$F$16,RANDBETWEEN(1,ROWS(Sprint_Metrics!$F$7:$F$16)))</f>
        <v>8</v>
      </c>
      <c r="I289" s="29" t="n">
        <f aca="false">INDEX(Sprint_Metrics!$F$7:$F$16,RANDBETWEEN(1,ROWS(Sprint_Metrics!$F$7:$F$16)))</f>
        <v>7</v>
      </c>
      <c r="J289" s="29" t="n">
        <f aca="false">B289</f>
        <v>12</v>
      </c>
      <c r="K289" s="29" t="n">
        <f aca="false">J289+C289</f>
        <v>24</v>
      </c>
      <c r="L289" s="29" t="n">
        <f aca="false">K289+D289</f>
        <v>32</v>
      </c>
      <c r="M289" s="29" t="n">
        <f aca="false">L289+E289</f>
        <v>40</v>
      </c>
      <c r="N289" s="29" t="n">
        <f aca="false">M289+F289</f>
        <v>51</v>
      </c>
      <c r="O289" s="29" t="n">
        <f aca="false">N289+G289</f>
        <v>60</v>
      </c>
      <c r="P289" s="29" t="n">
        <f aca="false">O289+H289</f>
        <v>68</v>
      </c>
      <c r="Q289" s="29" t="n">
        <f aca="false">P289+I289</f>
        <v>75</v>
      </c>
    </row>
    <row r="290" customFormat="false" ht="15" hidden="false" customHeight="false" outlineLevel="0" collapsed="false">
      <c r="A290" s="29" t="n">
        <v>289</v>
      </c>
      <c r="B290" s="29" t="n">
        <f aca="false">INDEX(Sprint_Metrics!$F$7:$F$16,RANDBETWEEN(1,ROWS(Sprint_Metrics!$F$7:$F$16)))</f>
        <v>8</v>
      </c>
      <c r="C290" s="29" t="n">
        <f aca="false">INDEX(Sprint_Metrics!$F$7:$F$16,RANDBETWEEN(1,ROWS(Sprint_Metrics!$F$7:$F$16)))</f>
        <v>7</v>
      </c>
      <c r="D290" s="29" t="n">
        <f aca="false">INDEX(Sprint_Metrics!$F$7:$F$16,RANDBETWEEN(1,ROWS(Sprint_Metrics!$F$7:$F$16)))</f>
        <v>11</v>
      </c>
      <c r="E290" s="29" t="n">
        <f aca="false">INDEX(Sprint_Metrics!$F$7:$F$16,RANDBETWEEN(1,ROWS(Sprint_Metrics!$F$7:$F$16)))</f>
        <v>9</v>
      </c>
      <c r="F290" s="29" t="n">
        <f aca="false">INDEX(Sprint_Metrics!$F$7:$F$16,RANDBETWEEN(1,ROWS(Sprint_Metrics!$F$7:$F$16)))</f>
        <v>8</v>
      </c>
      <c r="G290" s="29" t="n">
        <f aca="false">INDEX(Sprint_Metrics!$F$7:$F$16,RANDBETWEEN(1,ROWS(Sprint_Metrics!$F$7:$F$16)))</f>
        <v>8</v>
      </c>
      <c r="H290" s="29" t="n">
        <f aca="false">INDEX(Sprint_Metrics!$F$7:$F$16,RANDBETWEEN(1,ROWS(Sprint_Metrics!$F$7:$F$16)))</f>
        <v>7</v>
      </c>
      <c r="I290" s="29" t="n">
        <f aca="false">INDEX(Sprint_Metrics!$F$7:$F$16,RANDBETWEEN(1,ROWS(Sprint_Metrics!$F$7:$F$16)))</f>
        <v>7</v>
      </c>
      <c r="J290" s="29" t="n">
        <f aca="false">B290</f>
        <v>8</v>
      </c>
      <c r="K290" s="29" t="n">
        <f aca="false">J290+C290</f>
        <v>15</v>
      </c>
      <c r="L290" s="29" t="n">
        <f aca="false">K290+D290</f>
        <v>26</v>
      </c>
      <c r="M290" s="29" t="n">
        <f aca="false">L290+E290</f>
        <v>35</v>
      </c>
      <c r="N290" s="29" t="n">
        <f aca="false">M290+F290</f>
        <v>43</v>
      </c>
      <c r="O290" s="29" t="n">
        <f aca="false">N290+G290</f>
        <v>51</v>
      </c>
      <c r="P290" s="29" t="n">
        <f aca="false">O290+H290</f>
        <v>58</v>
      </c>
      <c r="Q290" s="29" t="n">
        <f aca="false">P290+I290</f>
        <v>65</v>
      </c>
    </row>
    <row r="291" customFormat="false" ht="15" hidden="false" customHeight="false" outlineLevel="0" collapsed="false">
      <c r="A291" s="29" t="n">
        <v>290</v>
      </c>
      <c r="B291" s="29" t="n">
        <f aca="false">INDEX(Sprint_Metrics!$F$7:$F$16,RANDBETWEEN(1,ROWS(Sprint_Metrics!$F$7:$F$16)))</f>
        <v>8</v>
      </c>
      <c r="C291" s="29" t="n">
        <f aca="false">INDEX(Sprint_Metrics!$F$7:$F$16,RANDBETWEEN(1,ROWS(Sprint_Metrics!$F$7:$F$16)))</f>
        <v>8</v>
      </c>
      <c r="D291" s="29" t="n">
        <f aca="false">INDEX(Sprint_Metrics!$F$7:$F$16,RANDBETWEEN(1,ROWS(Sprint_Metrics!$F$7:$F$16)))</f>
        <v>7</v>
      </c>
      <c r="E291" s="29" t="n">
        <f aca="false">INDEX(Sprint_Metrics!$F$7:$F$16,RANDBETWEEN(1,ROWS(Sprint_Metrics!$F$7:$F$16)))</f>
        <v>8</v>
      </c>
      <c r="F291" s="29" t="n">
        <f aca="false">INDEX(Sprint_Metrics!$F$7:$F$16,RANDBETWEEN(1,ROWS(Sprint_Metrics!$F$7:$F$16)))</f>
        <v>7</v>
      </c>
      <c r="G291" s="29" t="n">
        <f aca="false">INDEX(Sprint_Metrics!$F$7:$F$16,RANDBETWEEN(1,ROWS(Sprint_Metrics!$F$7:$F$16)))</f>
        <v>11</v>
      </c>
      <c r="H291" s="29" t="n">
        <f aca="false">INDEX(Sprint_Metrics!$F$7:$F$16,RANDBETWEEN(1,ROWS(Sprint_Metrics!$F$7:$F$16)))</f>
        <v>9</v>
      </c>
      <c r="I291" s="29" t="n">
        <f aca="false">INDEX(Sprint_Metrics!$F$7:$F$16,RANDBETWEEN(1,ROWS(Sprint_Metrics!$F$7:$F$16)))</f>
        <v>8</v>
      </c>
      <c r="J291" s="29" t="n">
        <f aca="false">B291</f>
        <v>8</v>
      </c>
      <c r="K291" s="29" t="n">
        <f aca="false">J291+C291</f>
        <v>16</v>
      </c>
      <c r="L291" s="29" t="n">
        <f aca="false">K291+D291</f>
        <v>23</v>
      </c>
      <c r="M291" s="29" t="n">
        <f aca="false">L291+E291</f>
        <v>31</v>
      </c>
      <c r="N291" s="29" t="n">
        <f aca="false">M291+F291</f>
        <v>38</v>
      </c>
      <c r="O291" s="29" t="n">
        <f aca="false">N291+G291</f>
        <v>49</v>
      </c>
      <c r="P291" s="29" t="n">
        <f aca="false">O291+H291</f>
        <v>58</v>
      </c>
      <c r="Q291" s="29" t="n">
        <f aca="false">P291+I291</f>
        <v>66</v>
      </c>
    </row>
    <row r="292" customFormat="false" ht="15" hidden="false" customHeight="false" outlineLevel="0" collapsed="false">
      <c r="A292" s="29" t="n">
        <v>291</v>
      </c>
      <c r="B292" s="29" t="n">
        <f aca="false">INDEX(Sprint_Metrics!$F$7:$F$16,RANDBETWEEN(1,ROWS(Sprint_Metrics!$F$7:$F$16)))</f>
        <v>9</v>
      </c>
      <c r="C292" s="29" t="n">
        <f aca="false">INDEX(Sprint_Metrics!$F$7:$F$16,RANDBETWEEN(1,ROWS(Sprint_Metrics!$F$7:$F$16)))</f>
        <v>8</v>
      </c>
      <c r="D292" s="29" t="n">
        <f aca="false">INDEX(Sprint_Metrics!$F$7:$F$16,RANDBETWEEN(1,ROWS(Sprint_Metrics!$F$7:$F$16)))</f>
        <v>12</v>
      </c>
      <c r="E292" s="29" t="n">
        <f aca="false">INDEX(Sprint_Metrics!$F$7:$F$16,RANDBETWEEN(1,ROWS(Sprint_Metrics!$F$7:$F$16)))</f>
        <v>12</v>
      </c>
      <c r="F292" s="29" t="n">
        <f aca="false">INDEX(Sprint_Metrics!$F$7:$F$16,RANDBETWEEN(1,ROWS(Sprint_Metrics!$F$7:$F$16)))</f>
        <v>7</v>
      </c>
      <c r="G292" s="29" t="n">
        <f aca="false">INDEX(Sprint_Metrics!$F$7:$F$16,RANDBETWEEN(1,ROWS(Sprint_Metrics!$F$7:$F$16)))</f>
        <v>9</v>
      </c>
      <c r="H292" s="29" t="n">
        <f aca="false">INDEX(Sprint_Metrics!$F$7:$F$16,RANDBETWEEN(1,ROWS(Sprint_Metrics!$F$7:$F$16)))</f>
        <v>11</v>
      </c>
      <c r="I292" s="29" t="n">
        <f aca="false">INDEX(Sprint_Metrics!$F$7:$F$16,RANDBETWEEN(1,ROWS(Sprint_Metrics!$F$7:$F$16)))</f>
        <v>11</v>
      </c>
      <c r="J292" s="29" t="n">
        <f aca="false">B292</f>
        <v>9</v>
      </c>
      <c r="K292" s="29" t="n">
        <f aca="false">J292+C292</f>
        <v>17</v>
      </c>
      <c r="L292" s="29" t="n">
        <f aca="false">K292+D292</f>
        <v>29</v>
      </c>
      <c r="M292" s="29" t="n">
        <f aca="false">L292+E292</f>
        <v>41</v>
      </c>
      <c r="N292" s="29" t="n">
        <f aca="false">M292+F292</f>
        <v>48</v>
      </c>
      <c r="O292" s="29" t="n">
        <f aca="false">N292+G292</f>
        <v>57</v>
      </c>
      <c r="P292" s="29" t="n">
        <f aca="false">O292+H292</f>
        <v>68</v>
      </c>
      <c r="Q292" s="29" t="n">
        <f aca="false">P292+I292</f>
        <v>79</v>
      </c>
    </row>
    <row r="293" customFormat="false" ht="15" hidden="false" customHeight="false" outlineLevel="0" collapsed="false">
      <c r="A293" s="29" t="n">
        <v>292</v>
      </c>
      <c r="B293" s="29" t="n">
        <f aca="false">INDEX(Sprint_Metrics!$F$7:$F$16,RANDBETWEEN(1,ROWS(Sprint_Metrics!$F$7:$F$16)))</f>
        <v>8</v>
      </c>
      <c r="C293" s="29" t="n">
        <f aca="false">INDEX(Sprint_Metrics!$F$7:$F$16,RANDBETWEEN(1,ROWS(Sprint_Metrics!$F$7:$F$16)))</f>
        <v>8</v>
      </c>
      <c r="D293" s="29" t="n">
        <f aca="false">INDEX(Sprint_Metrics!$F$7:$F$16,RANDBETWEEN(1,ROWS(Sprint_Metrics!$F$7:$F$16)))</f>
        <v>12</v>
      </c>
      <c r="E293" s="29" t="n">
        <f aca="false">INDEX(Sprint_Metrics!$F$7:$F$16,RANDBETWEEN(1,ROWS(Sprint_Metrics!$F$7:$F$16)))</f>
        <v>7</v>
      </c>
      <c r="F293" s="29" t="n">
        <f aca="false">INDEX(Sprint_Metrics!$F$7:$F$16,RANDBETWEEN(1,ROWS(Sprint_Metrics!$F$7:$F$16)))</f>
        <v>11</v>
      </c>
      <c r="G293" s="29" t="n">
        <f aca="false">INDEX(Sprint_Metrics!$F$7:$F$16,RANDBETWEEN(1,ROWS(Sprint_Metrics!$F$7:$F$16)))</f>
        <v>11</v>
      </c>
      <c r="H293" s="29" t="n">
        <f aca="false">INDEX(Sprint_Metrics!$F$7:$F$16,RANDBETWEEN(1,ROWS(Sprint_Metrics!$F$7:$F$16)))</f>
        <v>8</v>
      </c>
      <c r="I293" s="29" t="n">
        <f aca="false">INDEX(Sprint_Metrics!$F$7:$F$16,RANDBETWEEN(1,ROWS(Sprint_Metrics!$F$7:$F$16)))</f>
        <v>7</v>
      </c>
      <c r="J293" s="29" t="n">
        <f aca="false">B293</f>
        <v>8</v>
      </c>
      <c r="K293" s="29" t="n">
        <f aca="false">J293+C293</f>
        <v>16</v>
      </c>
      <c r="L293" s="29" t="n">
        <f aca="false">K293+D293</f>
        <v>28</v>
      </c>
      <c r="M293" s="29" t="n">
        <f aca="false">L293+E293</f>
        <v>35</v>
      </c>
      <c r="N293" s="29" t="n">
        <f aca="false">M293+F293</f>
        <v>46</v>
      </c>
      <c r="O293" s="29" t="n">
        <f aca="false">N293+G293</f>
        <v>57</v>
      </c>
      <c r="P293" s="29" t="n">
        <f aca="false">O293+H293</f>
        <v>65</v>
      </c>
      <c r="Q293" s="29" t="n">
        <f aca="false">P293+I293</f>
        <v>72</v>
      </c>
    </row>
    <row r="294" customFormat="false" ht="15" hidden="false" customHeight="false" outlineLevel="0" collapsed="false">
      <c r="A294" s="29" t="n">
        <v>293</v>
      </c>
      <c r="B294" s="29" t="n">
        <f aca="false">INDEX(Sprint_Metrics!$F$7:$F$16,RANDBETWEEN(1,ROWS(Sprint_Metrics!$F$7:$F$16)))</f>
        <v>11</v>
      </c>
      <c r="C294" s="29" t="n">
        <f aca="false">INDEX(Sprint_Metrics!$F$7:$F$16,RANDBETWEEN(1,ROWS(Sprint_Metrics!$F$7:$F$16)))</f>
        <v>11</v>
      </c>
      <c r="D294" s="29" t="n">
        <f aca="false">INDEX(Sprint_Metrics!$F$7:$F$16,RANDBETWEEN(1,ROWS(Sprint_Metrics!$F$7:$F$16)))</f>
        <v>8</v>
      </c>
      <c r="E294" s="29" t="n">
        <f aca="false">INDEX(Sprint_Metrics!$F$7:$F$16,RANDBETWEEN(1,ROWS(Sprint_Metrics!$F$7:$F$16)))</f>
        <v>7</v>
      </c>
      <c r="F294" s="29" t="n">
        <f aca="false">INDEX(Sprint_Metrics!$F$7:$F$16,RANDBETWEEN(1,ROWS(Sprint_Metrics!$F$7:$F$16)))</f>
        <v>11</v>
      </c>
      <c r="G294" s="29" t="n">
        <f aca="false">INDEX(Sprint_Metrics!$F$7:$F$16,RANDBETWEEN(1,ROWS(Sprint_Metrics!$F$7:$F$16)))</f>
        <v>7</v>
      </c>
      <c r="H294" s="29" t="n">
        <f aca="false">INDEX(Sprint_Metrics!$F$7:$F$16,RANDBETWEEN(1,ROWS(Sprint_Metrics!$F$7:$F$16)))</f>
        <v>8</v>
      </c>
      <c r="I294" s="29" t="n">
        <f aca="false">INDEX(Sprint_Metrics!$F$7:$F$16,RANDBETWEEN(1,ROWS(Sprint_Metrics!$F$7:$F$16)))</f>
        <v>8</v>
      </c>
      <c r="J294" s="29" t="n">
        <f aca="false">B294</f>
        <v>11</v>
      </c>
      <c r="K294" s="29" t="n">
        <f aca="false">J294+C294</f>
        <v>22</v>
      </c>
      <c r="L294" s="29" t="n">
        <f aca="false">K294+D294</f>
        <v>30</v>
      </c>
      <c r="M294" s="29" t="n">
        <f aca="false">L294+E294</f>
        <v>37</v>
      </c>
      <c r="N294" s="29" t="n">
        <f aca="false">M294+F294</f>
        <v>48</v>
      </c>
      <c r="O294" s="29" t="n">
        <f aca="false">N294+G294</f>
        <v>55</v>
      </c>
      <c r="P294" s="29" t="n">
        <f aca="false">O294+H294</f>
        <v>63</v>
      </c>
      <c r="Q294" s="29" t="n">
        <f aca="false">P294+I294</f>
        <v>71</v>
      </c>
    </row>
    <row r="295" customFormat="false" ht="15" hidden="false" customHeight="false" outlineLevel="0" collapsed="false">
      <c r="A295" s="29" t="n">
        <v>294</v>
      </c>
      <c r="B295" s="29" t="n">
        <f aca="false">INDEX(Sprint_Metrics!$F$7:$F$16,RANDBETWEEN(1,ROWS(Sprint_Metrics!$F$7:$F$16)))</f>
        <v>8</v>
      </c>
      <c r="C295" s="29" t="n">
        <f aca="false">INDEX(Sprint_Metrics!$F$7:$F$16,RANDBETWEEN(1,ROWS(Sprint_Metrics!$F$7:$F$16)))</f>
        <v>9</v>
      </c>
      <c r="D295" s="29" t="n">
        <f aca="false">INDEX(Sprint_Metrics!$F$7:$F$16,RANDBETWEEN(1,ROWS(Sprint_Metrics!$F$7:$F$16)))</f>
        <v>12</v>
      </c>
      <c r="E295" s="29" t="n">
        <f aca="false">INDEX(Sprint_Metrics!$F$7:$F$16,RANDBETWEEN(1,ROWS(Sprint_Metrics!$F$7:$F$16)))</f>
        <v>12</v>
      </c>
      <c r="F295" s="29" t="n">
        <f aca="false">INDEX(Sprint_Metrics!$F$7:$F$16,RANDBETWEEN(1,ROWS(Sprint_Metrics!$F$7:$F$16)))</f>
        <v>9</v>
      </c>
      <c r="G295" s="29" t="n">
        <f aca="false">INDEX(Sprint_Metrics!$F$7:$F$16,RANDBETWEEN(1,ROWS(Sprint_Metrics!$F$7:$F$16)))</f>
        <v>11</v>
      </c>
      <c r="H295" s="29" t="n">
        <f aca="false">INDEX(Sprint_Metrics!$F$7:$F$16,RANDBETWEEN(1,ROWS(Sprint_Metrics!$F$7:$F$16)))</f>
        <v>12</v>
      </c>
      <c r="I295" s="29" t="n">
        <f aca="false">INDEX(Sprint_Metrics!$F$7:$F$16,RANDBETWEEN(1,ROWS(Sprint_Metrics!$F$7:$F$16)))</f>
        <v>7</v>
      </c>
      <c r="J295" s="29" t="n">
        <f aca="false">B295</f>
        <v>8</v>
      </c>
      <c r="K295" s="29" t="n">
        <f aca="false">J295+C295</f>
        <v>17</v>
      </c>
      <c r="L295" s="29" t="n">
        <f aca="false">K295+D295</f>
        <v>29</v>
      </c>
      <c r="M295" s="29" t="n">
        <f aca="false">L295+E295</f>
        <v>41</v>
      </c>
      <c r="N295" s="29" t="n">
        <f aca="false">M295+F295</f>
        <v>50</v>
      </c>
      <c r="O295" s="29" t="n">
        <f aca="false">N295+G295</f>
        <v>61</v>
      </c>
      <c r="P295" s="29" t="n">
        <f aca="false">O295+H295</f>
        <v>73</v>
      </c>
      <c r="Q295" s="29" t="n">
        <f aca="false">P295+I295</f>
        <v>80</v>
      </c>
    </row>
    <row r="296" customFormat="false" ht="15" hidden="false" customHeight="false" outlineLevel="0" collapsed="false">
      <c r="A296" s="29" t="n">
        <v>295</v>
      </c>
      <c r="B296" s="29" t="n">
        <f aca="false">INDEX(Sprint_Metrics!$F$7:$F$16,RANDBETWEEN(1,ROWS(Sprint_Metrics!$F$7:$F$16)))</f>
        <v>7</v>
      </c>
      <c r="C296" s="29" t="n">
        <f aca="false">INDEX(Sprint_Metrics!$F$7:$F$16,RANDBETWEEN(1,ROWS(Sprint_Metrics!$F$7:$F$16)))</f>
        <v>8</v>
      </c>
      <c r="D296" s="29" t="n">
        <f aca="false">INDEX(Sprint_Metrics!$F$7:$F$16,RANDBETWEEN(1,ROWS(Sprint_Metrics!$F$7:$F$16)))</f>
        <v>7</v>
      </c>
      <c r="E296" s="29" t="n">
        <f aca="false">INDEX(Sprint_Metrics!$F$7:$F$16,RANDBETWEEN(1,ROWS(Sprint_Metrics!$F$7:$F$16)))</f>
        <v>12</v>
      </c>
      <c r="F296" s="29" t="n">
        <f aca="false">INDEX(Sprint_Metrics!$F$7:$F$16,RANDBETWEEN(1,ROWS(Sprint_Metrics!$F$7:$F$16)))</f>
        <v>8</v>
      </c>
      <c r="G296" s="29" t="n">
        <f aca="false">INDEX(Sprint_Metrics!$F$7:$F$16,RANDBETWEEN(1,ROWS(Sprint_Metrics!$F$7:$F$16)))</f>
        <v>8</v>
      </c>
      <c r="H296" s="29" t="n">
        <f aca="false">INDEX(Sprint_Metrics!$F$7:$F$16,RANDBETWEEN(1,ROWS(Sprint_Metrics!$F$7:$F$16)))</f>
        <v>12</v>
      </c>
      <c r="I296" s="29" t="n">
        <f aca="false">INDEX(Sprint_Metrics!$F$7:$F$16,RANDBETWEEN(1,ROWS(Sprint_Metrics!$F$7:$F$16)))</f>
        <v>12</v>
      </c>
      <c r="J296" s="29" t="n">
        <f aca="false">B296</f>
        <v>7</v>
      </c>
      <c r="K296" s="29" t="n">
        <f aca="false">J296+C296</f>
        <v>15</v>
      </c>
      <c r="L296" s="29" t="n">
        <f aca="false">K296+D296</f>
        <v>22</v>
      </c>
      <c r="M296" s="29" t="n">
        <f aca="false">L296+E296</f>
        <v>34</v>
      </c>
      <c r="N296" s="29" t="n">
        <f aca="false">M296+F296</f>
        <v>42</v>
      </c>
      <c r="O296" s="29" t="n">
        <f aca="false">N296+G296</f>
        <v>50</v>
      </c>
      <c r="P296" s="29" t="n">
        <f aca="false">O296+H296</f>
        <v>62</v>
      </c>
      <c r="Q296" s="29" t="n">
        <f aca="false">P296+I296</f>
        <v>74</v>
      </c>
    </row>
    <row r="297" customFormat="false" ht="15" hidden="false" customHeight="false" outlineLevel="0" collapsed="false">
      <c r="A297" s="29" t="n">
        <v>296</v>
      </c>
      <c r="B297" s="29" t="n">
        <f aca="false">INDEX(Sprint_Metrics!$F$7:$F$16,RANDBETWEEN(1,ROWS(Sprint_Metrics!$F$7:$F$16)))</f>
        <v>9</v>
      </c>
      <c r="C297" s="29" t="n">
        <f aca="false">INDEX(Sprint_Metrics!$F$7:$F$16,RANDBETWEEN(1,ROWS(Sprint_Metrics!$F$7:$F$16)))</f>
        <v>7</v>
      </c>
      <c r="D297" s="29" t="n">
        <f aca="false">INDEX(Sprint_Metrics!$F$7:$F$16,RANDBETWEEN(1,ROWS(Sprint_Metrics!$F$7:$F$16)))</f>
        <v>8</v>
      </c>
      <c r="E297" s="29" t="n">
        <f aca="false">INDEX(Sprint_Metrics!$F$7:$F$16,RANDBETWEEN(1,ROWS(Sprint_Metrics!$F$7:$F$16)))</f>
        <v>11</v>
      </c>
      <c r="F297" s="29" t="n">
        <f aca="false">INDEX(Sprint_Metrics!$F$7:$F$16,RANDBETWEEN(1,ROWS(Sprint_Metrics!$F$7:$F$16)))</f>
        <v>11</v>
      </c>
      <c r="G297" s="29" t="n">
        <f aca="false">INDEX(Sprint_Metrics!$F$7:$F$16,RANDBETWEEN(1,ROWS(Sprint_Metrics!$F$7:$F$16)))</f>
        <v>11</v>
      </c>
      <c r="H297" s="29" t="n">
        <f aca="false">INDEX(Sprint_Metrics!$F$7:$F$16,RANDBETWEEN(1,ROWS(Sprint_Metrics!$F$7:$F$16)))</f>
        <v>7</v>
      </c>
      <c r="I297" s="29" t="n">
        <f aca="false">INDEX(Sprint_Metrics!$F$7:$F$16,RANDBETWEEN(1,ROWS(Sprint_Metrics!$F$7:$F$16)))</f>
        <v>11</v>
      </c>
      <c r="J297" s="29" t="n">
        <f aca="false">B297</f>
        <v>9</v>
      </c>
      <c r="K297" s="29" t="n">
        <f aca="false">J297+C297</f>
        <v>16</v>
      </c>
      <c r="L297" s="29" t="n">
        <f aca="false">K297+D297</f>
        <v>24</v>
      </c>
      <c r="M297" s="29" t="n">
        <f aca="false">L297+E297</f>
        <v>35</v>
      </c>
      <c r="N297" s="29" t="n">
        <f aca="false">M297+F297</f>
        <v>46</v>
      </c>
      <c r="O297" s="29" t="n">
        <f aca="false">N297+G297</f>
        <v>57</v>
      </c>
      <c r="P297" s="29" t="n">
        <f aca="false">O297+H297</f>
        <v>64</v>
      </c>
      <c r="Q297" s="29" t="n">
        <f aca="false">P297+I297</f>
        <v>75</v>
      </c>
    </row>
    <row r="298" customFormat="false" ht="15" hidden="false" customHeight="false" outlineLevel="0" collapsed="false">
      <c r="A298" s="29" t="n">
        <v>297</v>
      </c>
      <c r="B298" s="29" t="n">
        <f aca="false">INDEX(Sprint_Metrics!$F$7:$F$16,RANDBETWEEN(1,ROWS(Sprint_Metrics!$F$7:$F$16)))</f>
        <v>8</v>
      </c>
      <c r="C298" s="29" t="n">
        <f aca="false">INDEX(Sprint_Metrics!$F$7:$F$16,RANDBETWEEN(1,ROWS(Sprint_Metrics!$F$7:$F$16)))</f>
        <v>11</v>
      </c>
      <c r="D298" s="29" t="n">
        <f aca="false">INDEX(Sprint_Metrics!$F$7:$F$16,RANDBETWEEN(1,ROWS(Sprint_Metrics!$F$7:$F$16)))</f>
        <v>7</v>
      </c>
      <c r="E298" s="29" t="n">
        <f aca="false">INDEX(Sprint_Metrics!$F$7:$F$16,RANDBETWEEN(1,ROWS(Sprint_Metrics!$F$7:$F$16)))</f>
        <v>8</v>
      </c>
      <c r="F298" s="29" t="n">
        <f aca="false">INDEX(Sprint_Metrics!$F$7:$F$16,RANDBETWEEN(1,ROWS(Sprint_Metrics!$F$7:$F$16)))</f>
        <v>9</v>
      </c>
      <c r="G298" s="29" t="n">
        <f aca="false">INDEX(Sprint_Metrics!$F$7:$F$16,RANDBETWEEN(1,ROWS(Sprint_Metrics!$F$7:$F$16)))</f>
        <v>12</v>
      </c>
      <c r="H298" s="29" t="n">
        <f aca="false">INDEX(Sprint_Metrics!$F$7:$F$16,RANDBETWEEN(1,ROWS(Sprint_Metrics!$F$7:$F$16)))</f>
        <v>11</v>
      </c>
      <c r="I298" s="29" t="n">
        <f aca="false">INDEX(Sprint_Metrics!$F$7:$F$16,RANDBETWEEN(1,ROWS(Sprint_Metrics!$F$7:$F$16)))</f>
        <v>7</v>
      </c>
      <c r="J298" s="29" t="n">
        <f aca="false">B298</f>
        <v>8</v>
      </c>
      <c r="K298" s="29" t="n">
        <f aca="false">J298+C298</f>
        <v>19</v>
      </c>
      <c r="L298" s="29" t="n">
        <f aca="false">K298+D298</f>
        <v>26</v>
      </c>
      <c r="M298" s="29" t="n">
        <f aca="false">L298+E298</f>
        <v>34</v>
      </c>
      <c r="N298" s="29" t="n">
        <f aca="false">M298+F298</f>
        <v>43</v>
      </c>
      <c r="O298" s="29" t="n">
        <f aca="false">N298+G298</f>
        <v>55</v>
      </c>
      <c r="P298" s="29" t="n">
        <f aca="false">O298+H298</f>
        <v>66</v>
      </c>
      <c r="Q298" s="29" t="n">
        <f aca="false">P298+I298</f>
        <v>73</v>
      </c>
    </row>
    <row r="299" customFormat="false" ht="15" hidden="false" customHeight="false" outlineLevel="0" collapsed="false">
      <c r="A299" s="29" t="n">
        <v>298</v>
      </c>
      <c r="B299" s="29" t="n">
        <f aca="false">INDEX(Sprint_Metrics!$F$7:$F$16,RANDBETWEEN(1,ROWS(Sprint_Metrics!$F$7:$F$16)))</f>
        <v>7</v>
      </c>
      <c r="C299" s="29" t="n">
        <f aca="false">INDEX(Sprint_Metrics!$F$7:$F$16,RANDBETWEEN(1,ROWS(Sprint_Metrics!$F$7:$F$16)))</f>
        <v>8</v>
      </c>
      <c r="D299" s="29" t="n">
        <f aca="false">INDEX(Sprint_Metrics!$F$7:$F$16,RANDBETWEEN(1,ROWS(Sprint_Metrics!$F$7:$F$16)))</f>
        <v>7</v>
      </c>
      <c r="E299" s="29" t="n">
        <f aca="false">INDEX(Sprint_Metrics!$F$7:$F$16,RANDBETWEEN(1,ROWS(Sprint_Metrics!$F$7:$F$16)))</f>
        <v>11</v>
      </c>
      <c r="F299" s="29" t="n">
        <f aca="false">INDEX(Sprint_Metrics!$F$7:$F$16,RANDBETWEEN(1,ROWS(Sprint_Metrics!$F$7:$F$16)))</f>
        <v>7</v>
      </c>
      <c r="G299" s="29" t="n">
        <f aca="false">INDEX(Sprint_Metrics!$F$7:$F$16,RANDBETWEEN(1,ROWS(Sprint_Metrics!$F$7:$F$16)))</f>
        <v>8</v>
      </c>
      <c r="H299" s="29" t="n">
        <f aca="false">INDEX(Sprint_Metrics!$F$7:$F$16,RANDBETWEEN(1,ROWS(Sprint_Metrics!$F$7:$F$16)))</f>
        <v>9</v>
      </c>
      <c r="I299" s="29" t="n">
        <f aca="false">INDEX(Sprint_Metrics!$F$7:$F$16,RANDBETWEEN(1,ROWS(Sprint_Metrics!$F$7:$F$16)))</f>
        <v>7</v>
      </c>
      <c r="J299" s="29" t="n">
        <f aca="false">B299</f>
        <v>7</v>
      </c>
      <c r="K299" s="29" t="n">
        <f aca="false">J299+C299</f>
        <v>15</v>
      </c>
      <c r="L299" s="29" t="n">
        <f aca="false">K299+D299</f>
        <v>22</v>
      </c>
      <c r="M299" s="29" t="n">
        <f aca="false">L299+E299</f>
        <v>33</v>
      </c>
      <c r="N299" s="29" t="n">
        <f aca="false">M299+F299</f>
        <v>40</v>
      </c>
      <c r="O299" s="29" t="n">
        <f aca="false">N299+G299</f>
        <v>48</v>
      </c>
      <c r="P299" s="29" t="n">
        <f aca="false">O299+H299</f>
        <v>57</v>
      </c>
      <c r="Q299" s="29" t="n">
        <f aca="false">P299+I299</f>
        <v>64</v>
      </c>
    </row>
    <row r="300" customFormat="false" ht="15" hidden="false" customHeight="false" outlineLevel="0" collapsed="false">
      <c r="A300" s="29" t="n">
        <v>299</v>
      </c>
      <c r="B300" s="29" t="n">
        <f aca="false">INDEX(Sprint_Metrics!$F$7:$F$16,RANDBETWEEN(1,ROWS(Sprint_Metrics!$F$7:$F$16)))</f>
        <v>11</v>
      </c>
      <c r="C300" s="29" t="n">
        <f aca="false">INDEX(Sprint_Metrics!$F$7:$F$16,RANDBETWEEN(1,ROWS(Sprint_Metrics!$F$7:$F$16)))</f>
        <v>8</v>
      </c>
      <c r="D300" s="29" t="n">
        <f aca="false">INDEX(Sprint_Metrics!$F$7:$F$16,RANDBETWEEN(1,ROWS(Sprint_Metrics!$F$7:$F$16)))</f>
        <v>7</v>
      </c>
      <c r="E300" s="29" t="n">
        <f aca="false">INDEX(Sprint_Metrics!$F$7:$F$16,RANDBETWEEN(1,ROWS(Sprint_Metrics!$F$7:$F$16)))</f>
        <v>7</v>
      </c>
      <c r="F300" s="29" t="n">
        <f aca="false">INDEX(Sprint_Metrics!$F$7:$F$16,RANDBETWEEN(1,ROWS(Sprint_Metrics!$F$7:$F$16)))</f>
        <v>7</v>
      </c>
      <c r="G300" s="29" t="n">
        <f aca="false">INDEX(Sprint_Metrics!$F$7:$F$16,RANDBETWEEN(1,ROWS(Sprint_Metrics!$F$7:$F$16)))</f>
        <v>9</v>
      </c>
      <c r="H300" s="29" t="n">
        <f aca="false">INDEX(Sprint_Metrics!$F$7:$F$16,RANDBETWEEN(1,ROWS(Sprint_Metrics!$F$7:$F$16)))</f>
        <v>11</v>
      </c>
      <c r="I300" s="29" t="n">
        <f aca="false">INDEX(Sprint_Metrics!$F$7:$F$16,RANDBETWEEN(1,ROWS(Sprint_Metrics!$F$7:$F$16)))</f>
        <v>12</v>
      </c>
      <c r="J300" s="29" t="n">
        <f aca="false">B300</f>
        <v>11</v>
      </c>
      <c r="K300" s="29" t="n">
        <f aca="false">J300+C300</f>
        <v>19</v>
      </c>
      <c r="L300" s="29" t="n">
        <f aca="false">K300+D300</f>
        <v>26</v>
      </c>
      <c r="M300" s="29" t="n">
        <f aca="false">L300+E300</f>
        <v>33</v>
      </c>
      <c r="N300" s="29" t="n">
        <f aca="false">M300+F300</f>
        <v>40</v>
      </c>
      <c r="O300" s="29" t="n">
        <f aca="false">N300+G300</f>
        <v>49</v>
      </c>
      <c r="P300" s="29" t="n">
        <f aca="false">O300+H300</f>
        <v>60</v>
      </c>
      <c r="Q300" s="29" t="n">
        <f aca="false">P300+I300</f>
        <v>72</v>
      </c>
    </row>
    <row r="301" customFormat="false" ht="15" hidden="false" customHeight="false" outlineLevel="0" collapsed="false">
      <c r="A301" s="29" t="n">
        <v>300</v>
      </c>
      <c r="B301" s="29" t="n">
        <f aca="false">INDEX(Sprint_Metrics!$F$7:$F$16,RANDBETWEEN(1,ROWS(Sprint_Metrics!$F$7:$F$16)))</f>
        <v>7</v>
      </c>
      <c r="C301" s="29" t="n">
        <f aca="false">INDEX(Sprint_Metrics!$F$7:$F$16,RANDBETWEEN(1,ROWS(Sprint_Metrics!$F$7:$F$16)))</f>
        <v>8</v>
      </c>
      <c r="D301" s="29" t="n">
        <f aca="false">INDEX(Sprint_Metrics!$F$7:$F$16,RANDBETWEEN(1,ROWS(Sprint_Metrics!$F$7:$F$16)))</f>
        <v>7</v>
      </c>
      <c r="E301" s="29" t="n">
        <f aca="false">INDEX(Sprint_Metrics!$F$7:$F$16,RANDBETWEEN(1,ROWS(Sprint_Metrics!$F$7:$F$16)))</f>
        <v>9</v>
      </c>
      <c r="F301" s="29" t="n">
        <f aca="false">INDEX(Sprint_Metrics!$F$7:$F$16,RANDBETWEEN(1,ROWS(Sprint_Metrics!$F$7:$F$16)))</f>
        <v>9</v>
      </c>
      <c r="G301" s="29" t="n">
        <f aca="false">INDEX(Sprint_Metrics!$F$7:$F$16,RANDBETWEEN(1,ROWS(Sprint_Metrics!$F$7:$F$16)))</f>
        <v>7</v>
      </c>
      <c r="H301" s="29" t="n">
        <f aca="false">INDEX(Sprint_Metrics!$F$7:$F$16,RANDBETWEEN(1,ROWS(Sprint_Metrics!$F$7:$F$16)))</f>
        <v>12</v>
      </c>
      <c r="I301" s="29" t="n">
        <f aca="false">INDEX(Sprint_Metrics!$F$7:$F$16,RANDBETWEEN(1,ROWS(Sprint_Metrics!$F$7:$F$16)))</f>
        <v>7</v>
      </c>
      <c r="J301" s="29" t="n">
        <f aca="false">B301</f>
        <v>7</v>
      </c>
      <c r="K301" s="29" t="n">
        <f aca="false">J301+C301</f>
        <v>15</v>
      </c>
      <c r="L301" s="29" t="n">
        <f aca="false">K301+D301</f>
        <v>22</v>
      </c>
      <c r="M301" s="29" t="n">
        <f aca="false">L301+E301</f>
        <v>31</v>
      </c>
      <c r="N301" s="29" t="n">
        <f aca="false">M301+F301</f>
        <v>40</v>
      </c>
      <c r="O301" s="29" t="n">
        <f aca="false">N301+G301</f>
        <v>47</v>
      </c>
      <c r="P301" s="29" t="n">
        <f aca="false">O301+H301</f>
        <v>59</v>
      </c>
      <c r="Q301" s="29" t="n">
        <f aca="false">P301+I301</f>
        <v>66</v>
      </c>
    </row>
    <row r="302" customFormat="false" ht="15" hidden="false" customHeight="false" outlineLevel="0" collapsed="false">
      <c r="A302" s="29" t="n">
        <v>301</v>
      </c>
      <c r="B302" s="29" t="n">
        <f aca="false">INDEX(Sprint_Metrics!$F$7:$F$16,RANDBETWEEN(1,ROWS(Sprint_Metrics!$F$7:$F$16)))</f>
        <v>8</v>
      </c>
      <c r="C302" s="29" t="n">
        <f aca="false">INDEX(Sprint_Metrics!$F$7:$F$16,RANDBETWEEN(1,ROWS(Sprint_Metrics!$F$7:$F$16)))</f>
        <v>9</v>
      </c>
      <c r="D302" s="29" t="n">
        <f aca="false">INDEX(Sprint_Metrics!$F$7:$F$16,RANDBETWEEN(1,ROWS(Sprint_Metrics!$F$7:$F$16)))</f>
        <v>8</v>
      </c>
      <c r="E302" s="29" t="n">
        <f aca="false">INDEX(Sprint_Metrics!$F$7:$F$16,RANDBETWEEN(1,ROWS(Sprint_Metrics!$F$7:$F$16)))</f>
        <v>8</v>
      </c>
      <c r="F302" s="29" t="n">
        <f aca="false">INDEX(Sprint_Metrics!$F$7:$F$16,RANDBETWEEN(1,ROWS(Sprint_Metrics!$F$7:$F$16)))</f>
        <v>7</v>
      </c>
      <c r="G302" s="29" t="n">
        <f aca="false">INDEX(Sprint_Metrics!$F$7:$F$16,RANDBETWEEN(1,ROWS(Sprint_Metrics!$F$7:$F$16)))</f>
        <v>7</v>
      </c>
      <c r="H302" s="29" t="n">
        <f aca="false">INDEX(Sprint_Metrics!$F$7:$F$16,RANDBETWEEN(1,ROWS(Sprint_Metrics!$F$7:$F$16)))</f>
        <v>8</v>
      </c>
      <c r="I302" s="29" t="n">
        <f aca="false">INDEX(Sprint_Metrics!$F$7:$F$16,RANDBETWEEN(1,ROWS(Sprint_Metrics!$F$7:$F$16)))</f>
        <v>8</v>
      </c>
      <c r="J302" s="29" t="n">
        <f aca="false">B302</f>
        <v>8</v>
      </c>
      <c r="K302" s="29" t="n">
        <f aca="false">J302+C302</f>
        <v>17</v>
      </c>
      <c r="L302" s="29" t="n">
        <f aca="false">K302+D302</f>
        <v>25</v>
      </c>
      <c r="M302" s="29" t="n">
        <f aca="false">L302+E302</f>
        <v>33</v>
      </c>
      <c r="N302" s="29" t="n">
        <f aca="false">M302+F302</f>
        <v>40</v>
      </c>
      <c r="O302" s="29" t="n">
        <f aca="false">N302+G302</f>
        <v>47</v>
      </c>
      <c r="P302" s="29" t="n">
        <f aca="false">O302+H302</f>
        <v>55</v>
      </c>
      <c r="Q302" s="29" t="n">
        <f aca="false">P302+I302</f>
        <v>63</v>
      </c>
    </row>
    <row r="303" customFormat="false" ht="15" hidden="false" customHeight="false" outlineLevel="0" collapsed="false">
      <c r="A303" s="29" t="n">
        <v>302</v>
      </c>
      <c r="B303" s="29" t="n">
        <f aca="false">INDEX(Sprint_Metrics!$F$7:$F$16,RANDBETWEEN(1,ROWS(Sprint_Metrics!$F$7:$F$16)))</f>
        <v>12</v>
      </c>
      <c r="C303" s="29" t="n">
        <f aca="false">INDEX(Sprint_Metrics!$F$7:$F$16,RANDBETWEEN(1,ROWS(Sprint_Metrics!$F$7:$F$16)))</f>
        <v>9</v>
      </c>
      <c r="D303" s="29" t="n">
        <f aca="false">INDEX(Sprint_Metrics!$F$7:$F$16,RANDBETWEEN(1,ROWS(Sprint_Metrics!$F$7:$F$16)))</f>
        <v>7</v>
      </c>
      <c r="E303" s="29" t="n">
        <f aca="false">INDEX(Sprint_Metrics!$F$7:$F$16,RANDBETWEEN(1,ROWS(Sprint_Metrics!$F$7:$F$16)))</f>
        <v>9</v>
      </c>
      <c r="F303" s="29" t="n">
        <f aca="false">INDEX(Sprint_Metrics!$F$7:$F$16,RANDBETWEEN(1,ROWS(Sprint_Metrics!$F$7:$F$16)))</f>
        <v>8</v>
      </c>
      <c r="G303" s="29" t="n">
        <f aca="false">INDEX(Sprint_Metrics!$F$7:$F$16,RANDBETWEEN(1,ROWS(Sprint_Metrics!$F$7:$F$16)))</f>
        <v>11</v>
      </c>
      <c r="H303" s="29" t="n">
        <f aca="false">INDEX(Sprint_Metrics!$F$7:$F$16,RANDBETWEEN(1,ROWS(Sprint_Metrics!$F$7:$F$16)))</f>
        <v>9</v>
      </c>
      <c r="I303" s="29" t="n">
        <f aca="false">INDEX(Sprint_Metrics!$F$7:$F$16,RANDBETWEEN(1,ROWS(Sprint_Metrics!$F$7:$F$16)))</f>
        <v>9</v>
      </c>
      <c r="J303" s="29" t="n">
        <f aca="false">B303</f>
        <v>12</v>
      </c>
      <c r="K303" s="29" t="n">
        <f aca="false">J303+C303</f>
        <v>21</v>
      </c>
      <c r="L303" s="29" t="n">
        <f aca="false">K303+D303</f>
        <v>28</v>
      </c>
      <c r="M303" s="29" t="n">
        <f aca="false">L303+E303</f>
        <v>37</v>
      </c>
      <c r="N303" s="29" t="n">
        <f aca="false">M303+F303</f>
        <v>45</v>
      </c>
      <c r="O303" s="29" t="n">
        <f aca="false">N303+G303</f>
        <v>56</v>
      </c>
      <c r="P303" s="29" t="n">
        <f aca="false">O303+H303</f>
        <v>65</v>
      </c>
      <c r="Q303" s="29" t="n">
        <f aca="false">P303+I303</f>
        <v>74</v>
      </c>
    </row>
    <row r="304" customFormat="false" ht="15" hidden="false" customHeight="false" outlineLevel="0" collapsed="false">
      <c r="A304" s="29" t="n">
        <v>303</v>
      </c>
      <c r="B304" s="29" t="n">
        <f aca="false">INDEX(Sprint_Metrics!$F$7:$F$16,RANDBETWEEN(1,ROWS(Sprint_Metrics!$F$7:$F$16)))</f>
        <v>11</v>
      </c>
      <c r="C304" s="29" t="n">
        <f aca="false">INDEX(Sprint_Metrics!$F$7:$F$16,RANDBETWEEN(1,ROWS(Sprint_Metrics!$F$7:$F$16)))</f>
        <v>8</v>
      </c>
      <c r="D304" s="29" t="n">
        <f aca="false">INDEX(Sprint_Metrics!$F$7:$F$16,RANDBETWEEN(1,ROWS(Sprint_Metrics!$F$7:$F$16)))</f>
        <v>7</v>
      </c>
      <c r="E304" s="29" t="n">
        <f aca="false">INDEX(Sprint_Metrics!$F$7:$F$16,RANDBETWEEN(1,ROWS(Sprint_Metrics!$F$7:$F$16)))</f>
        <v>12</v>
      </c>
      <c r="F304" s="29" t="n">
        <f aca="false">INDEX(Sprint_Metrics!$F$7:$F$16,RANDBETWEEN(1,ROWS(Sprint_Metrics!$F$7:$F$16)))</f>
        <v>11</v>
      </c>
      <c r="G304" s="29" t="n">
        <f aca="false">INDEX(Sprint_Metrics!$F$7:$F$16,RANDBETWEEN(1,ROWS(Sprint_Metrics!$F$7:$F$16)))</f>
        <v>8</v>
      </c>
      <c r="H304" s="29" t="n">
        <f aca="false">INDEX(Sprint_Metrics!$F$7:$F$16,RANDBETWEEN(1,ROWS(Sprint_Metrics!$F$7:$F$16)))</f>
        <v>8</v>
      </c>
      <c r="I304" s="29" t="n">
        <f aca="false">INDEX(Sprint_Metrics!$F$7:$F$16,RANDBETWEEN(1,ROWS(Sprint_Metrics!$F$7:$F$16)))</f>
        <v>9</v>
      </c>
      <c r="J304" s="29" t="n">
        <f aca="false">B304</f>
        <v>11</v>
      </c>
      <c r="K304" s="29" t="n">
        <f aca="false">J304+C304</f>
        <v>19</v>
      </c>
      <c r="L304" s="29" t="n">
        <f aca="false">K304+D304</f>
        <v>26</v>
      </c>
      <c r="M304" s="29" t="n">
        <f aca="false">L304+E304</f>
        <v>38</v>
      </c>
      <c r="N304" s="29" t="n">
        <f aca="false">M304+F304</f>
        <v>49</v>
      </c>
      <c r="O304" s="29" t="n">
        <f aca="false">N304+G304</f>
        <v>57</v>
      </c>
      <c r="P304" s="29" t="n">
        <f aca="false">O304+H304</f>
        <v>65</v>
      </c>
      <c r="Q304" s="29" t="n">
        <f aca="false">P304+I304</f>
        <v>74</v>
      </c>
    </row>
    <row r="305" customFormat="false" ht="15" hidden="false" customHeight="false" outlineLevel="0" collapsed="false">
      <c r="A305" s="29" t="n">
        <v>304</v>
      </c>
      <c r="B305" s="29" t="n">
        <f aca="false">INDEX(Sprint_Metrics!$F$7:$F$16,RANDBETWEEN(1,ROWS(Sprint_Metrics!$F$7:$F$16)))</f>
        <v>11</v>
      </c>
      <c r="C305" s="29" t="n">
        <f aca="false">INDEX(Sprint_Metrics!$F$7:$F$16,RANDBETWEEN(1,ROWS(Sprint_Metrics!$F$7:$F$16)))</f>
        <v>8</v>
      </c>
      <c r="D305" s="29" t="n">
        <f aca="false">INDEX(Sprint_Metrics!$F$7:$F$16,RANDBETWEEN(1,ROWS(Sprint_Metrics!$F$7:$F$16)))</f>
        <v>8</v>
      </c>
      <c r="E305" s="29" t="n">
        <f aca="false">INDEX(Sprint_Metrics!$F$7:$F$16,RANDBETWEEN(1,ROWS(Sprint_Metrics!$F$7:$F$16)))</f>
        <v>8</v>
      </c>
      <c r="F305" s="29" t="n">
        <f aca="false">INDEX(Sprint_Metrics!$F$7:$F$16,RANDBETWEEN(1,ROWS(Sprint_Metrics!$F$7:$F$16)))</f>
        <v>9</v>
      </c>
      <c r="G305" s="29" t="n">
        <f aca="false">INDEX(Sprint_Metrics!$F$7:$F$16,RANDBETWEEN(1,ROWS(Sprint_Metrics!$F$7:$F$16)))</f>
        <v>7</v>
      </c>
      <c r="H305" s="29" t="n">
        <f aca="false">INDEX(Sprint_Metrics!$F$7:$F$16,RANDBETWEEN(1,ROWS(Sprint_Metrics!$F$7:$F$16)))</f>
        <v>7</v>
      </c>
      <c r="I305" s="29" t="n">
        <f aca="false">INDEX(Sprint_Metrics!$F$7:$F$16,RANDBETWEEN(1,ROWS(Sprint_Metrics!$F$7:$F$16)))</f>
        <v>8</v>
      </c>
      <c r="J305" s="29" t="n">
        <f aca="false">B305</f>
        <v>11</v>
      </c>
      <c r="K305" s="29" t="n">
        <f aca="false">J305+C305</f>
        <v>19</v>
      </c>
      <c r="L305" s="29" t="n">
        <f aca="false">K305+D305</f>
        <v>27</v>
      </c>
      <c r="M305" s="29" t="n">
        <f aca="false">L305+E305</f>
        <v>35</v>
      </c>
      <c r="N305" s="29" t="n">
        <f aca="false">M305+F305</f>
        <v>44</v>
      </c>
      <c r="O305" s="29" t="n">
        <f aca="false">N305+G305</f>
        <v>51</v>
      </c>
      <c r="P305" s="29" t="n">
        <f aca="false">O305+H305</f>
        <v>58</v>
      </c>
      <c r="Q305" s="29" t="n">
        <f aca="false">P305+I305</f>
        <v>66</v>
      </c>
    </row>
    <row r="306" customFormat="false" ht="15" hidden="false" customHeight="false" outlineLevel="0" collapsed="false">
      <c r="A306" s="29" t="n">
        <v>305</v>
      </c>
      <c r="B306" s="29" t="n">
        <f aca="false">INDEX(Sprint_Metrics!$F$7:$F$16,RANDBETWEEN(1,ROWS(Sprint_Metrics!$F$7:$F$16)))</f>
        <v>8</v>
      </c>
      <c r="C306" s="29" t="n">
        <f aca="false">INDEX(Sprint_Metrics!$F$7:$F$16,RANDBETWEEN(1,ROWS(Sprint_Metrics!$F$7:$F$16)))</f>
        <v>8</v>
      </c>
      <c r="D306" s="29" t="n">
        <f aca="false">INDEX(Sprint_Metrics!$F$7:$F$16,RANDBETWEEN(1,ROWS(Sprint_Metrics!$F$7:$F$16)))</f>
        <v>8</v>
      </c>
      <c r="E306" s="29" t="n">
        <f aca="false">INDEX(Sprint_Metrics!$F$7:$F$16,RANDBETWEEN(1,ROWS(Sprint_Metrics!$F$7:$F$16)))</f>
        <v>8</v>
      </c>
      <c r="F306" s="29" t="n">
        <f aca="false">INDEX(Sprint_Metrics!$F$7:$F$16,RANDBETWEEN(1,ROWS(Sprint_Metrics!$F$7:$F$16)))</f>
        <v>11</v>
      </c>
      <c r="G306" s="29" t="n">
        <f aca="false">INDEX(Sprint_Metrics!$F$7:$F$16,RANDBETWEEN(1,ROWS(Sprint_Metrics!$F$7:$F$16)))</f>
        <v>9</v>
      </c>
      <c r="H306" s="29" t="n">
        <f aca="false">INDEX(Sprint_Metrics!$F$7:$F$16,RANDBETWEEN(1,ROWS(Sprint_Metrics!$F$7:$F$16)))</f>
        <v>7</v>
      </c>
      <c r="I306" s="29" t="n">
        <f aca="false">INDEX(Sprint_Metrics!$F$7:$F$16,RANDBETWEEN(1,ROWS(Sprint_Metrics!$F$7:$F$16)))</f>
        <v>12</v>
      </c>
      <c r="J306" s="29" t="n">
        <f aca="false">B306</f>
        <v>8</v>
      </c>
      <c r="K306" s="29" t="n">
        <f aca="false">J306+C306</f>
        <v>16</v>
      </c>
      <c r="L306" s="29" t="n">
        <f aca="false">K306+D306</f>
        <v>24</v>
      </c>
      <c r="M306" s="29" t="n">
        <f aca="false">L306+E306</f>
        <v>32</v>
      </c>
      <c r="N306" s="29" t="n">
        <f aca="false">M306+F306</f>
        <v>43</v>
      </c>
      <c r="O306" s="29" t="n">
        <f aca="false">N306+G306</f>
        <v>52</v>
      </c>
      <c r="P306" s="29" t="n">
        <f aca="false">O306+H306</f>
        <v>59</v>
      </c>
      <c r="Q306" s="29" t="n">
        <f aca="false">P306+I306</f>
        <v>71</v>
      </c>
    </row>
    <row r="307" customFormat="false" ht="15" hidden="false" customHeight="false" outlineLevel="0" collapsed="false">
      <c r="A307" s="29" t="n">
        <v>306</v>
      </c>
      <c r="B307" s="29" t="n">
        <f aca="false">INDEX(Sprint_Metrics!$F$7:$F$16,RANDBETWEEN(1,ROWS(Sprint_Metrics!$F$7:$F$16)))</f>
        <v>7</v>
      </c>
      <c r="C307" s="29" t="n">
        <f aca="false">INDEX(Sprint_Metrics!$F$7:$F$16,RANDBETWEEN(1,ROWS(Sprint_Metrics!$F$7:$F$16)))</f>
        <v>12</v>
      </c>
      <c r="D307" s="29" t="n">
        <f aca="false">INDEX(Sprint_Metrics!$F$7:$F$16,RANDBETWEEN(1,ROWS(Sprint_Metrics!$F$7:$F$16)))</f>
        <v>9</v>
      </c>
      <c r="E307" s="29" t="n">
        <f aca="false">INDEX(Sprint_Metrics!$F$7:$F$16,RANDBETWEEN(1,ROWS(Sprint_Metrics!$F$7:$F$16)))</f>
        <v>7</v>
      </c>
      <c r="F307" s="29" t="n">
        <f aca="false">INDEX(Sprint_Metrics!$F$7:$F$16,RANDBETWEEN(1,ROWS(Sprint_Metrics!$F$7:$F$16)))</f>
        <v>7</v>
      </c>
      <c r="G307" s="29" t="n">
        <f aca="false">INDEX(Sprint_Metrics!$F$7:$F$16,RANDBETWEEN(1,ROWS(Sprint_Metrics!$F$7:$F$16)))</f>
        <v>7</v>
      </c>
      <c r="H307" s="29" t="n">
        <f aca="false">INDEX(Sprint_Metrics!$F$7:$F$16,RANDBETWEEN(1,ROWS(Sprint_Metrics!$F$7:$F$16)))</f>
        <v>11</v>
      </c>
      <c r="I307" s="29" t="n">
        <f aca="false">INDEX(Sprint_Metrics!$F$7:$F$16,RANDBETWEEN(1,ROWS(Sprint_Metrics!$F$7:$F$16)))</f>
        <v>11</v>
      </c>
      <c r="J307" s="29" t="n">
        <f aca="false">B307</f>
        <v>7</v>
      </c>
      <c r="K307" s="29" t="n">
        <f aca="false">J307+C307</f>
        <v>19</v>
      </c>
      <c r="L307" s="29" t="n">
        <f aca="false">K307+D307</f>
        <v>28</v>
      </c>
      <c r="M307" s="29" t="n">
        <f aca="false">L307+E307</f>
        <v>35</v>
      </c>
      <c r="N307" s="29" t="n">
        <f aca="false">M307+F307</f>
        <v>42</v>
      </c>
      <c r="O307" s="29" t="n">
        <f aca="false">N307+G307</f>
        <v>49</v>
      </c>
      <c r="P307" s="29" t="n">
        <f aca="false">O307+H307</f>
        <v>60</v>
      </c>
      <c r="Q307" s="29" t="n">
        <f aca="false">P307+I307</f>
        <v>71</v>
      </c>
    </row>
    <row r="308" customFormat="false" ht="15" hidden="false" customHeight="false" outlineLevel="0" collapsed="false">
      <c r="A308" s="29" t="n">
        <v>307</v>
      </c>
      <c r="B308" s="29" t="n">
        <f aca="false">INDEX(Sprint_Metrics!$F$7:$F$16,RANDBETWEEN(1,ROWS(Sprint_Metrics!$F$7:$F$16)))</f>
        <v>8</v>
      </c>
      <c r="C308" s="29" t="n">
        <f aca="false">INDEX(Sprint_Metrics!$F$7:$F$16,RANDBETWEEN(1,ROWS(Sprint_Metrics!$F$7:$F$16)))</f>
        <v>11</v>
      </c>
      <c r="D308" s="29" t="n">
        <f aca="false">INDEX(Sprint_Metrics!$F$7:$F$16,RANDBETWEEN(1,ROWS(Sprint_Metrics!$F$7:$F$16)))</f>
        <v>8</v>
      </c>
      <c r="E308" s="29" t="n">
        <f aca="false">INDEX(Sprint_Metrics!$F$7:$F$16,RANDBETWEEN(1,ROWS(Sprint_Metrics!$F$7:$F$16)))</f>
        <v>8</v>
      </c>
      <c r="F308" s="29" t="n">
        <f aca="false">INDEX(Sprint_Metrics!$F$7:$F$16,RANDBETWEEN(1,ROWS(Sprint_Metrics!$F$7:$F$16)))</f>
        <v>7</v>
      </c>
      <c r="G308" s="29" t="n">
        <f aca="false">INDEX(Sprint_Metrics!$F$7:$F$16,RANDBETWEEN(1,ROWS(Sprint_Metrics!$F$7:$F$16)))</f>
        <v>9</v>
      </c>
      <c r="H308" s="29" t="n">
        <f aca="false">INDEX(Sprint_Metrics!$F$7:$F$16,RANDBETWEEN(1,ROWS(Sprint_Metrics!$F$7:$F$16)))</f>
        <v>7</v>
      </c>
      <c r="I308" s="29" t="n">
        <f aca="false">INDEX(Sprint_Metrics!$F$7:$F$16,RANDBETWEEN(1,ROWS(Sprint_Metrics!$F$7:$F$16)))</f>
        <v>7</v>
      </c>
      <c r="J308" s="29" t="n">
        <f aca="false">B308</f>
        <v>8</v>
      </c>
      <c r="K308" s="29" t="n">
        <f aca="false">J308+C308</f>
        <v>19</v>
      </c>
      <c r="L308" s="29" t="n">
        <f aca="false">K308+D308</f>
        <v>27</v>
      </c>
      <c r="M308" s="29" t="n">
        <f aca="false">L308+E308</f>
        <v>35</v>
      </c>
      <c r="N308" s="29" t="n">
        <f aca="false">M308+F308</f>
        <v>42</v>
      </c>
      <c r="O308" s="29" t="n">
        <f aca="false">N308+G308</f>
        <v>51</v>
      </c>
      <c r="P308" s="29" t="n">
        <f aca="false">O308+H308</f>
        <v>58</v>
      </c>
      <c r="Q308" s="29" t="n">
        <f aca="false">P308+I308</f>
        <v>65</v>
      </c>
    </row>
    <row r="309" customFormat="false" ht="15" hidden="false" customHeight="false" outlineLevel="0" collapsed="false">
      <c r="A309" s="29" t="n">
        <v>308</v>
      </c>
      <c r="B309" s="29" t="n">
        <f aca="false">INDEX(Sprint_Metrics!$F$7:$F$16,RANDBETWEEN(1,ROWS(Sprint_Metrics!$F$7:$F$16)))</f>
        <v>8</v>
      </c>
      <c r="C309" s="29" t="n">
        <f aca="false">INDEX(Sprint_Metrics!$F$7:$F$16,RANDBETWEEN(1,ROWS(Sprint_Metrics!$F$7:$F$16)))</f>
        <v>7</v>
      </c>
      <c r="D309" s="29" t="n">
        <f aca="false">INDEX(Sprint_Metrics!$F$7:$F$16,RANDBETWEEN(1,ROWS(Sprint_Metrics!$F$7:$F$16)))</f>
        <v>7</v>
      </c>
      <c r="E309" s="29" t="n">
        <f aca="false">INDEX(Sprint_Metrics!$F$7:$F$16,RANDBETWEEN(1,ROWS(Sprint_Metrics!$F$7:$F$16)))</f>
        <v>8</v>
      </c>
      <c r="F309" s="29" t="n">
        <f aca="false">INDEX(Sprint_Metrics!$F$7:$F$16,RANDBETWEEN(1,ROWS(Sprint_Metrics!$F$7:$F$16)))</f>
        <v>7</v>
      </c>
      <c r="G309" s="29" t="n">
        <f aca="false">INDEX(Sprint_Metrics!$F$7:$F$16,RANDBETWEEN(1,ROWS(Sprint_Metrics!$F$7:$F$16)))</f>
        <v>9</v>
      </c>
      <c r="H309" s="29" t="n">
        <f aca="false">INDEX(Sprint_Metrics!$F$7:$F$16,RANDBETWEEN(1,ROWS(Sprint_Metrics!$F$7:$F$16)))</f>
        <v>9</v>
      </c>
      <c r="I309" s="29" t="n">
        <f aca="false">INDEX(Sprint_Metrics!$F$7:$F$16,RANDBETWEEN(1,ROWS(Sprint_Metrics!$F$7:$F$16)))</f>
        <v>7</v>
      </c>
      <c r="J309" s="29" t="n">
        <f aca="false">B309</f>
        <v>8</v>
      </c>
      <c r="K309" s="29" t="n">
        <f aca="false">J309+C309</f>
        <v>15</v>
      </c>
      <c r="L309" s="29" t="n">
        <f aca="false">K309+D309</f>
        <v>22</v>
      </c>
      <c r="M309" s="29" t="n">
        <f aca="false">L309+E309</f>
        <v>30</v>
      </c>
      <c r="N309" s="29" t="n">
        <f aca="false">M309+F309</f>
        <v>37</v>
      </c>
      <c r="O309" s="29" t="n">
        <f aca="false">N309+G309</f>
        <v>46</v>
      </c>
      <c r="P309" s="29" t="n">
        <f aca="false">O309+H309</f>
        <v>55</v>
      </c>
      <c r="Q309" s="29" t="n">
        <f aca="false">P309+I309</f>
        <v>62</v>
      </c>
    </row>
    <row r="310" customFormat="false" ht="15" hidden="false" customHeight="false" outlineLevel="0" collapsed="false">
      <c r="A310" s="29" t="n">
        <v>309</v>
      </c>
      <c r="B310" s="29" t="n">
        <f aca="false">INDEX(Sprint_Metrics!$F$7:$F$16,RANDBETWEEN(1,ROWS(Sprint_Metrics!$F$7:$F$16)))</f>
        <v>12</v>
      </c>
      <c r="C310" s="29" t="n">
        <f aca="false">INDEX(Sprint_Metrics!$F$7:$F$16,RANDBETWEEN(1,ROWS(Sprint_Metrics!$F$7:$F$16)))</f>
        <v>8</v>
      </c>
      <c r="D310" s="29" t="n">
        <f aca="false">INDEX(Sprint_Metrics!$F$7:$F$16,RANDBETWEEN(1,ROWS(Sprint_Metrics!$F$7:$F$16)))</f>
        <v>11</v>
      </c>
      <c r="E310" s="29" t="n">
        <f aca="false">INDEX(Sprint_Metrics!$F$7:$F$16,RANDBETWEEN(1,ROWS(Sprint_Metrics!$F$7:$F$16)))</f>
        <v>7</v>
      </c>
      <c r="F310" s="29" t="n">
        <f aca="false">INDEX(Sprint_Metrics!$F$7:$F$16,RANDBETWEEN(1,ROWS(Sprint_Metrics!$F$7:$F$16)))</f>
        <v>11</v>
      </c>
      <c r="G310" s="29" t="n">
        <f aca="false">INDEX(Sprint_Metrics!$F$7:$F$16,RANDBETWEEN(1,ROWS(Sprint_Metrics!$F$7:$F$16)))</f>
        <v>8</v>
      </c>
      <c r="H310" s="29" t="n">
        <f aca="false">INDEX(Sprint_Metrics!$F$7:$F$16,RANDBETWEEN(1,ROWS(Sprint_Metrics!$F$7:$F$16)))</f>
        <v>7</v>
      </c>
      <c r="I310" s="29" t="n">
        <f aca="false">INDEX(Sprint_Metrics!$F$7:$F$16,RANDBETWEEN(1,ROWS(Sprint_Metrics!$F$7:$F$16)))</f>
        <v>7</v>
      </c>
      <c r="J310" s="29" t="n">
        <f aca="false">B310</f>
        <v>12</v>
      </c>
      <c r="K310" s="29" t="n">
        <f aca="false">J310+C310</f>
        <v>20</v>
      </c>
      <c r="L310" s="29" t="n">
        <f aca="false">K310+D310</f>
        <v>31</v>
      </c>
      <c r="M310" s="29" t="n">
        <f aca="false">L310+E310</f>
        <v>38</v>
      </c>
      <c r="N310" s="29" t="n">
        <f aca="false">M310+F310</f>
        <v>49</v>
      </c>
      <c r="O310" s="29" t="n">
        <f aca="false">N310+G310</f>
        <v>57</v>
      </c>
      <c r="P310" s="29" t="n">
        <f aca="false">O310+H310</f>
        <v>64</v>
      </c>
      <c r="Q310" s="29" t="n">
        <f aca="false">P310+I310</f>
        <v>71</v>
      </c>
    </row>
    <row r="311" customFormat="false" ht="15" hidden="false" customHeight="false" outlineLevel="0" collapsed="false">
      <c r="A311" s="29" t="n">
        <v>310</v>
      </c>
      <c r="B311" s="29" t="n">
        <f aca="false">INDEX(Sprint_Metrics!$F$7:$F$16,RANDBETWEEN(1,ROWS(Sprint_Metrics!$F$7:$F$16)))</f>
        <v>8</v>
      </c>
      <c r="C311" s="29" t="n">
        <f aca="false">INDEX(Sprint_Metrics!$F$7:$F$16,RANDBETWEEN(1,ROWS(Sprint_Metrics!$F$7:$F$16)))</f>
        <v>8</v>
      </c>
      <c r="D311" s="29" t="n">
        <f aca="false">INDEX(Sprint_Metrics!$F$7:$F$16,RANDBETWEEN(1,ROWS(Sprint_Metrics!$F$7:$F$16)))</f>
        <v>8</v>
      </c>
      <c r="E311" s="29" t="n">
        <f aca="false">INDEX(Sprint_Metrics!$F$7:$F$16,RANDBETWEEN(1,ROWS(Sprint_Metrics!$F$7:$F$16)))</f>
        <v>11</v>
      </c>
      <c r="F311" s="29" t="n">
        <f aca="false">INDEX(Sprint_Metrics!$F$7:$F$16,RANDBETWEEN(1,ROWS(Sprint_Metrics!$F$7:$F$16)))</f>
        <v>11</v>
      </c>
      <c r="G311" s="29" t="n">
        <f aca="false">INDEX(Sprint_Metrics!$F$7:$F$16,RANDBETWEEN(1,ROWS(Sprint_Metrics!$F$7:$F$16)))</f>
        <v>11</v>
      </c>
      <c r="H311" s="29" t="n">
        <f aca="false">INDEX(Sprint_Metrics!$F$7:$F$16,RANDBETWEEN(1,ROWS(Sprint_Metrics!$F$7:$F$16)))</f>
        <v>7</v>
      </c>
      <c r="I311" s="29" t="n">
        <f aca="false">INDEX(Sprint_Metrics!$F$7:$F$16,RANDBETWEEN(1,ROWS(Sprint_Metrics!$F$7:$F$16)))</f>
        <v>7</v>
      </c>
      <c r="J311" s="29" t="n">
        <f aca="false">B311</f>
        <v>8</v>
      </c>
      <c r="K311" s="29" t="n">
        <f aca="false">J311+C311</f>
        <v>16</v>
      </c>
      <c r="L311" s="29" t="n">
        <f aca="false">K311+D311</f>
        <v>24</v>
      </c>
      <c r="M311" s="29" t="n">
        <f aca="false">L311+E311</f>
        <v>35</v>
      </c>
      <c r="N311" s="29" t="n">
        <f aca="false">M311+F311</f>
        <v>46</v>
      </c>
      <c r="O311" s="29" t="n">
        <f aca="false">N311+G311</f>
        <v>57</v>
      </c>
      <c r="P311" s="29" t="n">
        <f aca="false">O311+H311</f>
        <v>64</v>
      </c>
      <c r="Q311" s="29" t="n">
        <f aca="false">P311+I311</f>
        <v>71</v>
      </c>
    </row>
    <row r="312" customFormat="false" ht="15" hidden="false" customHeight="false" outlineLevel="0" collapsed="false">
      <c r="A312" s="29" t="n">
        <v>311</v>
      </c>
      <c r="B312" s="29" t="n">
        <f aca="false">INDEX(Sprint_Metrics!$F$7:$F$16,RANDBETWEEN(1,ROWS(Sprint_Metrics!$F$7:$F$16)))</f>
        <v>9</v>
      </c>
      <c r="C312" s="29" t="n">
        <f aca="false">INDEX(Sprint_Metrics!$F$7:$F$16,RANDBETWEEN(1,ROWS(Sprint_Metrics!$F$7:$F$16)))</f>
        <v>7</v>
      </c>
      <c r="D312" s="29" t="n">
        <f aca="false">INDEX(Sprint_Metrics!$F$7:$F$16,RANDBETWEEN(1,ROWS(Sprint_Metrics!$F$7:$F$16)))</f>
        <v>7</v>
      </c>
      <c r="E312" s="29" t="n">
        <f aca="false">INDEX(Sprint_Metrics!$F$7:$F$16,RANDBETWEEN(1,ROWS(Sprint_Metrics!$F$7:$F$16)))</f>
        <v>12</v>
      </c>
      <c r="F312" s="29" t="n">
        <f aca="false">INDEX(Sprint_Metrics!$F$7:$F$16,RANDBETWEEN(1,ROWS(Sprint_Metrics!$F$7:$F$16)))</f>
        <v>7</v>
      </c>
      <c r="G312" s="29" t="n">
        <f aca="false">INDEX(Sprint_Metrics!$F$7:$F$16,RANDBETWEEN(1,ROWS(Sprint_Metrics!$F$7:$F$16)))</f>
        <v>8</v>
      </c>
      <c r="H312" s="29" t="n">
        <f aca="false">INDEX(Sprint_Metrics!$F$7:$F$16,RANDBETWEEN(1,ROWS(Sprint_Metrics!$F$7:$F$16)))</f>
        <v>11</v>
      </c>
      <c r="I312" s="29" t="n">
        <f aca="false">INDEX(Sprint_Metrics!$F$7:$F$16,RANDBETWEEN(1,ROWS(Sprint_Metrics!$F$7:$F$16)))</f>
        <v>7</v>
      </c>
      <c r="J312" s="29" t="n">
        <f aca="false">B312</f>
        <v>9</v>
      </c>
      <c r="K312" s="29" t="n">
        <f aca="false">J312+C312</f>
        <v>16</v>
      </c>
      <c r="L312" s="29" t="n">
        <f aca="false">K312+D312</f>
        <v>23</v>
      </c>
      <c r="M312" s="29" t="n">
        <f aca="false">L312+E312</f>
        <v>35</v>
      </c>
      <c r="N312" s="29" t="n">
        <f aca="false">M312+F312</f>
        <v>42</v>
      </c>
      <c r="O312" s="29" t="n">
        <f aca="false">N312+G312</f>
        <v>50</v>
      </c>
      <c r="P312" s="29" t="n">
        <f aca="false">O312+H312</f>
        <v>61</v>
      </c>
      <c r="Q312" s="29" t="n">
        <f aca="false">P312+I312</f>
        <v>68</v>
      </c>
    </row>
    <row r="313" customFormat="false" ht="15" hidden="false" customHeight="false" outlineLevel="0" collapsed="false">
      <c r="A313" s="29" t="n">
        <v>312</v>
      </c>
      <c r="B313" s="29" t="n">
        <f aca="false">INDEX(Sprint_Metrics!$F$7:$F$16,RANDBETWEEN(1,ROWS(Sprint_Metrics!$F$7:$F$16)))</f>
        <v>9</v>
      </c>
      <c r="C313" s="29" t="n">
        <f aca="false">INDEX(Sprint_Metrics!$F$7:$F$16,RANDBETWEEN(1,ROWS(Sprint_Metrics!$F$7:$F$16)))</f>
        <v>7</v>
      </c>
      <c r="D313" s="29" t="n">
        <f aca="false">INDEX(Sprint_Metrics!$F$7:$F$16,RANDBETWEEN(1,ROWS(Sprint_Metrics!$F$7:$F$16)))</f>
        <v>7</v>
      </c>
      <c r="E313" s="29" t="n">
        <f aca="false">INDEX(Sprint_Metrics!$F$7:$F$16,RANDBETWEEN(1,ROWS(Sprint_Metrics!$F$7:$F$16)))</f>
        <v>11</v>
      </c>
      <c r="F313" s="29" t="n">
        <f aca="false">INDEX(Sprint_Metrics!$F$7:$F$16,RANDBETWEEN(1,ROWS(Sprint_Metrics!$F$7:$F$16)))</f>
        <v>8</v>
      </c>
      <c r="G313" s="29" t="n">
        <f aca="false">INDEX(Sprint_Metrics!$F$7:$F$16,RANDBETWEEN(1,ROWS(Sprint_Metrics!$F$7:$F$16)))</f>
        <v>8</v>
      </c>
      <c r="H313" s="29" t="n">
        <f aca="false">INDEX(Sprint_Metrics!$F$7:$F$16,RANDBETWEEN(1,ROWS(Sprint_Metrics!$F$7:$F$16)))</f>
        <v>8</v>
      </c>
      <c r="I313" s="29" t="n">
        <f aca="false">INDEX(Sprint_Metrics!$F$7:$F$16,RANDBETWEEN(1,ROWS(Sprint_Metrics!$F$7:$F$16)))</f>
        <v>9</v>
      </c>
      <c r="J313" s="29" t="n">
        <f aca="false">B313</f>
        <v>9</v>
      </c>
      <c r="K313" s="29" t="n">
        <f aca="false">J313+C313</f>
        <v>16</v>
      </c>
      <c r="L313" s="29" t="n">
        <f aca="false">K313+D313</f>
        <v>23</v>
      </c>
      <c r="M313" s="29" t="n">
        <f aca="false">L313+E313</f>
        <v>34</v>
      </c>
      <c r="N313" s="29" t="n">
        <f aca="false">M313+F313</f>
        <v>42</v>
      </c>
      <c r="O313" s="29" t="n">
        <f aca="false">N313+G313</f>
        <v>50</v>
      </c>
      <c r="P313" s="29" t="n">
        <f aca="false">O313+H313</f>
        <v>58</v>
      </c>
      <c r="Q313" s="29" t="n">
        <f aca="false">P313+I313</f>
        <v>67</v>
      </c>
    </row>
    <row r="314" customFormat="false" ht="15" hidden="false" customHeight="false" outlineLevel="0" collapsed="false">
      <c r="A314" s="29" t="n">
        <v>313</v>
      </c>
      <c r="B314" s="29" t="n">
        <f aca="false">INDEX(Sprint_Metrics!$F$7:$F$16,RANDBETWEEN(1,ROWS(Sprint_Metrics!$F$7:$F$16)))</f>
        <v>8</v>
      </c>
      <c r="C314" s="29" t="n">
        <f aca="false">INDEX(Sprint_Metrics!$F$7:$F$16,RANDBETWEEN(1,ROWS(Sprint_Metrics!$F$7:$F$16)))</f>
        <v>7</v>
      </c>
      <c r="D314" s="29" t="n">
        <f aca="false">INDEX(Sprint_Metrics!$F$7:$F$16,RANDBETWEEN(1,ROWS(Sprint_Metrics!$F$7:$F$16)))</f>
        <v>8</v>
      </c>
      <c r="E314" s="29" t="n">
        <f aca="false">INDEX(Sprint_Metrics!$F$7:$F$16,RANDBETWEEN(1,ROWS(Sprint_Metrics!$F$7:$F$16)))</f>
        <v>9</v>
      </c>
      <c r="F314" s="29" t="n">
        <f aca="false">INDEX(Sprint_Metrics!$F$7:$F$16,RANDBETWEEN(1,ROWS(Sprint_Metrics!$F$7:$F$16)))</f>
        <v>12</v>
      </c>
      <c r="G314" s="29" t="n">
        <f aca="false">INDEX(Sprint_Metrics!$F$7:$F$16,RANDBETWEEN(1,ROWS(Sprint_Metrics!$F$7:$F$16)))</f>
        <v>11</v>
      </c>
      <c r="H314" s="29" t="n">
        <f aca="false">INDEX(Sprint_Metrics!$F$7:$F$16,RANDBETWEEN(1,ROWS(Sprint_Metrics!$F$7:$F$16)))</f>
        <v>7</v>
      </c>
      <c r="I314" s="29" t="n">
        <f aca="false">INDEX(Sprint_Metrics!$F$7:$F$16,RANDBETWEEN(1,ROWS(Sprint_Metrics!$F$7:$F$16)))</f>
        <v>11</v>
      </c>
      <c r="J314" s="29" t="n">
        <f aca="false">B314</f>
        <v>8</v>
      </c>
      <c r="K314" s="29" t="n">
        <f aca="false">J314+C314</f>
        <v>15</v>
      </c>
      <c r="L314" s="29" t="n">
        <f aca="false">K314+D314</f>
        <v>23</v>
      </c>
      <c r="M314" s="29" t="n">
        <f aca="false">L314+E314</f>
        <v>32</v>
      </c>
      <c r="N314" s="29" t="n">
        <f aca="false">M314+F314</f>
        <v>44</v>
      </c>
      <c r="O314" s="29" t="n">
        <f aca="false">N314+G314</f>
        <v>55</v>
      </c>
      <c r="P314" s="29" t="n">
        <f aca="false">O314+H314</f>
        <v>62</v>
      </c>
      <c r="Q314" s="29" t="n">
        <f aca="false">P314+I314</f>
        <v>73</v>
      </c>
    </row>
    <row r="315" customFormat="false" ht="15" hidden="false" customHeight="false" outlineLevel="0" collapsed="false">
      <c r="A315" s="29" t="n">
        <v>314</v>
      </c>
      <c r="B315" s="29" t="n">
        <f aca="false">INDEX(Sprint_Metrics!$F$7:$F$16,RANDBETWEEN(1,ROWS(Sprint_Metrics!$F$7:$F$16)))</f>
        <v>9</v>
      </c>
      <c r="C315" s="29" t="n">
        <f aca="false">INDEX(Sprint_Metrics!$F$7:$F$16,RANDBETWEEN(1,ROWS(Sprint_Metrics!$F$7:$F$16)))</f>
        <v>8</v>
      </c>
      <c r="D315" s="29" t="n">
        <f aca="false">INDEX(Sprint_Metrics!$F$7:$F$16,RANDBETWEEN(1,ROWS(Sprint_Metrics!$F$7:$F$16)))</f>
        <v>7</v>
      </c>
      <c r="E315" s="29" t="n">
        <f aca="false">INDEX(Sprint_Metrics!$F$7:$F$16,RANDBETWEEN(1,ROWS(Sprint_Metrics!$F$7:$F$16)))</f>
        <v>12</v>
      </c>
      <c r="F315" s="29" t="n">
        <f aca="false">INDEX(Sprint_Metrics!$F$7:$F$16,RANDBETWEEN(1,ROWS(Sprint_Metrics!$F$7:$F$16)))</f>
        <v>7</v>
      </c>
      <c r="G315" s="29" t="n">
        <f aca="false">INDEX(Sprint_Metrics!$F$7:$F$16,RANDBETWEEN(1,ROWS(Sprint_Metrics!$F$7:$F$16)))</f>
        <v>8</v>
      </c>
      <c r="H315" s="29" t="n">
        <f aca="false">INDEX(Sprint_Metrics!$F$7:$F$16,RANDBETWEEN(1,ROWS(Sprint_Metrics!$F$7:$F$16)))</f>
        <v>11</v>
      </c>
      <c r="I315" s="29" t="n">
        <f aca="false">INDEX(Sprint_Metrics!$F$7:$F$16,RANDBETWEEN(1,ROWS(Sprint_Metrics!$F$7:$F$16)))</f>
        <v>8</v>
      </c>
      <c r="J315" s="29" t="n">
        <f aca="false">B315</f>
        <v>9</v>
      </c>
      <c r="K315" s="29" t="n">
        <f aca="false">J315+C315</f>
        <v>17</v>
      </c>
      <c r="L315" s="29" t="n">
        <f aca="false">K315+D315</f>
        <v>24</v>
      </c>
      <c r="M315" s="29" t="n">
        <f aca="false">L315+E315</f>
        <v>36</v>
      </c>
      <c r="N315" s="29" t="n">
        <f aca="false">M315+F315</f>
        <v>43</v>
      </c>
      <c r="O315" s="29" t="n">
        <f aca="false">N315+G315</f>
        <v>51</v>
      </c>
      <c r="P315" s="29" t="n">
        <f aca="false">O315+H315</f>
        <v>62</v>
      </c>
      <c r="Q315" s="29" t="n">
        <f aca="false">P315+I315</f>
        <v>70</v>
      </c>
    </row>
    <row r="316" customFormat="false" ht="15" hidden="false" customHeight="false" outlineLevel="0" collapsed="false">
      <c r="A316" s="29" t="n">
        <v>315</v>
      </c>
      <c r="B316" s="29" t="n">
        <f aca="false">INDEX(Sprint_Metrics!$F$7:$F$16,RANDBETWEEN(1,ROWS(Sprint_Metrics!$F$7:$F$16)))</f>
        <v>11</v>
      </c>
      <c r="C316" s="29" t="n">
        <f aca="false">INDEX(Sprint_Metrics!$F$7:$F$16,RANDBETWEEN(1,ROWS(Sprint_Metrics!$F$7:$F$16)))</f>
        <v>8</v>
      </c>
      <c r="D316" s="29" t="n">
        <f aca="false">INDEX(Sprint_Metrics!$F$7:$F$16,RANDBETWEEN(1,ROWS(Sprint_Metrics!$F$7:$F$16)))</f>
        <v>8</v>
      </c>
      <c r="E316" s="29" t="n">
        <f aca="false">INDEX(Sprint_Metrics!$F$7:$F$16,RANDBETWEEN(1,ROWS(Sprint_Metrics!$F$7:$F$16)))</f>
        <v>8</v>
      </c>
      <c r="F316" s="29" t="n">
        <f aca="false">INDEX(Sprint_Metrics!$F$7:$F$16,RANDBETWEEN(1,ROWS(Sprint_Metrics!$F$7:$F$16)))</f>
        <v>7</v>
      </c>
      <c r="G316" s="29" t="n">
        <f aca="false">INDEX(Sprint_Metrics!$F$7:$F$16,RANDBETWEEN(1,ROWS(Sprint_Metrics!$F$7:$F$16)))</f>
        <v>11</v>
      </c>
      <c r="H316" s="29" t="n">
        <f aca="false">INDEX(Sprint_Metrics!$F$7:$F$16,RANDBETWEEN(1,ROWS(Sprint_Metrics!$F$7:$F$16)))</f>
        <v>11</v>
      </c>
      <c r="I316" s="29" t="n">
        <f aca="false">INDEX(Sprint_Metrics!$F$7:$F$16,RANDBETWEEN(1,ROWS(Sprint_Metrics!$F$7:$F$16)))</f>
        <v>12</v>
      </c>
      <c r="J316" s="29" t="n">
        <f aca="false">B316</f>
        <v>11</v>
      </c>
      <c r="K316" s="29" t="n">
        <f aca="false">J316+C316</f>
        <v>19</v>
      </c>
      <c r="L316" s="29" t="n">
        <f aca="false">K316+D316</f>
        <v>27</v>
      </c>
      <c r="M316" s="29" t="n">
        <f aca="false">L316+E316</f>
        <v>35</v>
      </c>
      <c r="N316" s="29" t="n">
        <f aca="false">M316+F316</f>
        <v>42</v>
      </c>
      <c r="O316" s="29" t="n">
        <f aca="false">N316+G316</f>
        <v>53</v>
      </c>
      <c r="P316" s="29" t="n">
        <f aca="false">O316+H316</f>
        <v>64</v>
      </c>
      <c r="Q316" s="29" t="n">
        <f aca="false">P316+I316</f>
        <v>76</v>
      </c>
    </row>
    <row r="317" customFormat="false" ht="15" hidden="false" customHeight="false" outlineLevel="0" collapsed="false">
      <c r="A317" s="29" t="n">
        <v>316</v>
      </c>
      <c r="B317" s="29" t="n">
        <f aca="false">INDEX(Sprint_Metrics!$F$7:$F$16,RANDBETWEEN(1,ROWS(Sprint_Metrics!$F$7:$F$16)))</f>
        <v>8</v>
      </c>
      <c r="C317" s="29" t="n">
        <f aca="false">INDEX(Sprint_Metrics!$F$7:$F$16,RANDBETWEEN(1,ROWS(Sprint_Metrics!$F$7:$F$16)))</f>
        <v>8</v>
      </c>
      <c r="D317" s="29" t="n">
        <f aca="false">INDEX(Sprint_Metrics!$F$7:$F$16,RANDBETWEEN(1,ROWS(Sprint_Metrics!$F$7:$F$16)))</f>
        <v>8</v>
      </c>
      <c r="E317" s="29" t="n">
        <f aca="false">INDEX(Sprint_Metrics!$F$7:$F$16,RANDBETWEEN(1,ROWS(Sprint_Metrics!$F$7:$F$16)))</f>
        <v>7</v>
      </c>
      <c r="F317" s="29" t="n">
        <f aca="false">INDEX(Sprint_Metrics!$F$7:$F$16,RANDBETWEEN(1,ROWS(Sprint_Metrics!$F$7:$F$16)))</f>
        <v>11</v>
      </c>
      <c r="G317" s="29" t="n">
        <f aca="false">INDEX(Sprint_Metrics!$F$7:$F$16,RANDBETWEEN(1,ROWS(Sprint_Metrics!$F$7:$F$16)))</f>
        <v>8</v>
      </c>
      <c r="H317" s="29" t="n">
        <f aca="false">INDEX(Sprint_Metrics!$F$7:$F$16,RANDBETWEEN(1,ROWS(Sprint_Metrics!$F$7:$F$16)))</f>
        <v>11</v>
      </c>
      <c r="I317" s="29" t="n">
        <f aca="false">INDEX(Sprint_Metrics!$F$7:$F$16,RANDBETWEEN(1,ROWS(Sprint_Metrics!$F$7:$F$16)))</f>
        <v>9</v>
      </c>
      <c r="J317" s="29" t="n">
        <f aca="false">B317</f>
        <v>8</v>
      </c>
      <c r="K317" s="29" t="n">
        <f aca="false">J317+C317</f>
        <v>16</v>
      </c>
      <c r="L317" s="29" t="n">
        <f aca="false">K317+D317</f>
        <v>24</v>
      </c>
      <c r="M317" s="29" t="n">
        <f aca="false">L317+E317</f>
        <v>31</v>
      </c>
      <c r="N317" s="29" t="n">
        <f aca="false">M317+F317</f>
        <v>42</v>
      </c>
      <c r="O317" s="29" t="n">
        <f aca="false">N317+G317</f>
        <v>50</v>
      </c>
      <c r="P317" s="29" t="n">
        <f aca="false">O317+H317</f>
        <v>61</v>
      </c>
      <c r="Q317" s="29" t="n">
        <f aca="false">P317+I317</f>
        <v>70</v>
      </c>
    </row>
    <row r="318" customFormat="false" ht="15" hidden="false" customHeight="false" outlineLevel="0" collapsed="false">
      <c r="A318" s="29" t="n">
        <v>317</v>
      </c>
      <c r="B318" s="29" t="n">
        <f aca="false">INDEX(Sprint_Metrics!$F$7:$F$16,RANDBETWEEN(1,ROWS(Sprint_Metrics!$F$7:$F$16)))</f>
        <v>8</v>
      </c>
      <c r="C318" s="29" t="n">
        <f aca="false">INDEX(Sprint_Metrics!$F$7:$F$16,RANDBETWEEN(1,ROWS(Sprint_Metrics!$F$7:$F$16)))</f>
        <v>11</v>
      </c>
      <c r="D318" s="29" t="n">
        <f aca="false">INDEX(Sprint_Metrics!$F$7:$F$16,RANDBETWEEN(1,ROWS(Sprint_Metrics!$F$7:$F$16)))</f>
        <v>11</v>
      </c>
      <c r="E318" s="29" t="n">
        <f aca="false">INDEX(Sprint_Metrics!$F$7:$F$16,RANDBETWEEN(1,ROWS(Sprint_Metrics!$F$7:$F$16)))</f>
        <v>12</v>
      </c>
      <c r="F318" s="29" t="n">
        <f aca="false">INDEX(Sprint_Metrics!$F$7:$F$16,RANDBETWEEN(1,ROWS(Sprint_Metrics!$F$7:$F$16)))</f>
        <v>8</v>
      </c>
      <c r="G318" s="29" t="n">
        <f aca="false">INDEX(Sprint_Metrics!$F$7:$F$16,RANDBETWEEN(1,ROWS(Sprint_Metrics!$F$7:$F$16)))</f>
        <v>11</v>
      </c>
      <c r="H318" s="29" t="n">
        <f aca="false">INDEX(Sprint_Metrics!$F$7:$F$16,RANDBETWEEN(1,ROWS(Sprint_Metrics!$F$7:$F$16)))</f>
        <v>8</v>
      </c>
      <c r="I318" s="29" t="n">
        <f aca="false">INDEX(Sprint_Metrics!$F$7:$F$16,RANDBETWEEN(1,ROWS(Sprint_Metrics!$F$7:$F$16)))</f>
        <v>11</v>
      </c>
      <c r="J318" s="29" t="n">
        <f aca="false">B318</f>
        <v>8</v>
      </c>
      <c r="K318" s="29" t="n">
        <f aca="false">J318+C318</f>
        <v>19</v>
      </c>
      <c r="L318" s="29" t="n">
        <f aca="false">K318+D318</f>
        <v>30</v>
      </c>
      <c r="M318" s="29" t="n">
        <f aca="false">L318+E318</f>
        <v>42</v>
      </c>
      <c r="N318" s="29" t="n">
        <f aca="false">M318+F318</f>
        <v>50</v>
      </c>
      <c r="O318" s="29" t="n">
        <f aca="false">N318+G318</f>
        <v>61</v>
      </c>
      <c r="P318" s="29" t="n">
        <f aca="false">O318+H318</f>
        <v>69</v>
      </c>
      <c r="Q318" s="29" t="n">
        <f aca="false">P318+I318</f>
        <v>80</v>
      </c>
    </row>
    <row r="319" customFormat="false" ht="15" hidden="false" customHeight="false" outlineLevel="0" collapsed="false">
      <c r="A319" s="29" t="n">
        <v>318</v>
      </c>
      <c r="B319" s="29" t="n">
        <f aca="false">INDEX(Sprint_Metrics!$F$7:$F$16,RANDBETWEEN(1,ROWS(Sprint_Metrics!$F$7:$F$16)))</f>
        <v>11</v>
      </c>
      <c r="C319" s="29" t="n">
        <f aca="false">INDEX(Sprint_Metrics!$F$7:$F$16,RANDBETWEEN(1,ROWS(Sprint_Metrics!$F$7:$F$16)))</f>
        <v>9</v>
      </c>
      <c r="D319" s="29" t="n">
        <f aca="false">INDEX(Sprint_Metrics!$F$7:$F$16,RANDBETWEEN(1,ROWS(Sprint_Metrics!$F$7:$F$16)))</f>
        <v>12</v>
      </c>
      <c r="E319" s="29" t="n">
        <f aca="false">INDEX(Sprint_Metrics!$F$7:$F$16,RANDBETWEEN(1,ROWS(Sprint_Metrics!$F$7:$F$16)))</f>
        <v>7</v>
      </c>
      <c r="F319" s="29" t="n">
        <f aca="false">INDEX(Sprint_Metrics!$F$7:$F$16,RANDBETWEEN(1,ROWS(Sprint_Metrics!$F$7:$F$16)))</f>
        <v>11</v>
      </c>
      <c r="G319" s="29" t="n">
        <f aca="false">INDEX(Sprint_Metrics!$F$7:$F$16,RANDBETWEEN(1,ROWS(Sprint_Metrics!$F$7:$F$16)))</f>
        <v>12</v>
      </c>
      <c r="H319" s="29" t="n">
        <f aca="false">INDEX(Sprint_Metrics!$F$7:$F$16,RANDBETWEEN(1,ROWS(Sprint_Metrics!$F$7:$F$16)))</f>
        <v>12</v>
      </c>
      <c r="I319" s="29" t="n">
        <f aca="false">INDEX(Sprint_Metrics!$F$7:$F$16,RANDBETWEEN(1,ROWS(Sprint_Metrics!$F$7:$F$16)))</f>
        <v>7</v>
      </c>
      <c r="J319" s="29" t="n">
        <f aca="false">B319</f>
        <v>11</v>
      </c>
      <c r="K319" s="29" t="n">
        <f aca="false">J319+C319</f>
        <v>20</v>
      </c>
      <c r="L319" s="29" t="n">
        <f aca="false">K319+D319</f>
        <v>32</v>
      </c>
      <c r="M319" s="29" t="n">
        <f aca="false">L319+E319</f>
        <v>39</v>
      </c>
      <c r="N319" s="29" t="n">
        <f aca="false">M319+F319</f>
        <v>50</v>
      </c>
      <c r="O319" s="29" t="n">
        <f aca="false">N319+G319</f>
        <v>62</v>
      </c>
      <c r="P319" s="29" t="n">
        <f aca="false">O319+H319</f>
        <v>74</v>
      </c>
      <c r="Q319" s="29" t="n">
        <f aca="false">P319+I319</f>
        <v>81</v>
      </c>
    </row>
    <row r="320" customFormat="false" ht="15" hidden="false" customHeight="false" outlineLevel="0" collapsed="false">
      <c r="A320" s="29" t="n">
        <v>319</v>
      </c>
      <c r="B320" s="29" t="n">
        <f aca="false">INDEX(Sprint_Metrics!$F$7:$F$16,RANDBETWEEN(1,ROWS(Sprint_Metrics!$F$7:$F$16)))</f>
        <v>7</v>
      </c>
      <c r="C320" s="29" t="n">
        <f aca="false">INDEX(Sprint_Metrics!$F$7:$F$16,RANDBETWEEN(1,ROWS(Sprint_Metrics!$F$7:$F$16)))</f>
        <v>7</v>
      </c>
      <c r="D320" s="29" t="n">
        <f aca="false">INDEX(Sprint_Metrics!$F$7:$F$16,RANDBETWEEN(1,ROWS(Sprint_Metrics!$F$7:$F$16)))</f>
        <v>12</v>
      </c>
      <c r="E320" s="29" t="n">
        <f aca="false">INDEX(Sprint_Metrics!$F$7:$F$16,RANDBETWEEN(1,ROWS(Sprint_Metrics!$F$7:$F$16)))</f>
        <v>11</v>
      </c>
      <c r="F320" s="29" t="n">
        <f aca="false">INDEX(Sprint_Metrics!$F$7:$F$16,RANDBETWEEN(1,ROWS(Sprint_Metrics!$F$7:$F$16)))</f>
        <v>11</v>
      </c>
      <c r="G320" s="29" t="n">
        <f aca="false">INDEX(Sprint_Metrics!$F$7:$F$16,RANDBETWEEN(1,ROWS(Sprint_Metrics!$F$7:$F$16)))</f>
        <v>8</v>
      </c>
      <c r="H320" s="29" t="n">
        <f aca="false">INDEX(Sprint_Metrics!$F$7:$F$16,RANDBETWEEN(1,ROWS(Sprint_Metrics!$F$7:$F$16)))</f>
        <v>8</v>
      </c>
      <c r="I320" s="29" t="n">
        <f aca="false">INDEX(Sprint_Metrics!$F$7:$F$16,RANDBETWEEN(1,ROWS(Sprint_Metrics!$F$7:$F$16)))</f>
        <v>11</v>
      </c>
      <c r="J320" s="29" t="n">
        <f aca="false">B320</f>
        <v>7</v>
      </c>
      <c r="K320" s="29" t="n">
        <f aca="false">J320+C320</f>
        <v>14</v>
      </c>
      <c r="L320" s="29" t="n">
        <f aca="false">K320+D320</f>
        <v>26</v>
      </c>
      <c r="M320" s="29" t="n">
        <f aca="false">L320+E320</f>
        <v>37</v>
      </c>
      <c r="N320" s="29" t="n">
        <f aca="false">M320+F320</f>
        <v>48</v>
      </c>
      <c r="O320" s="29" t="n">
        <f aca="false">N320+G320</f>
        <v>56</v>
      </c>
      <c r="P320" s="29" t="n">
        <f aca="false">O320+H320</f>
        <v>64</v>
      </c>
      <c r="Q320" s="29" t="n">
        <f aca="false">P320+I320</f>
        <v>75</v>
      </c>
    </row>
    <row r="321" customFormat="false" ht="15" hidden="false" customHeight="false" outlineLevel="0" collapsed="false">
      <c r="A321" s="29" t="n">
        <v>320</v>
      </c>
      <c r="B321" s="29" t="n">
        <f aca="false">INDEX(Sprint_Metrics!$F$7:$F$16,RANDBETWEEN(1,ROWS(Sprint_Metrics!$F$7:$F$16)))</f>
        <v>7</v>
      </c>
      <c r="C321" s="29" t="n">
        <f aca="false">INDEX(Sprint_Metrics!$F$7:$F$16,RANDBETWEEN(1,ROWS(Sprint_Metrics!$F$7:$F$16)))</f>
        <v>11</v>
      </c>
      <c r="D321" s="29" t="n">
        <f aca="false">INDEX(Sprint_Metrics!$F$7:$F$16,RANDBETWEEN(1,ROWS(Sprint_Metrics!$F$7:$F$16)))</f>
        <v>8</v>
      </c>
      <c r="E321" s="29" t="n">
        <f aca="false">INDEX(Sprint_Metrics!$F$7:$F$16,RANDBETWEEN(1,ROWS(Sprint_Metrics!$F$7:$F$16)))</f>
        <v>9</v>
      </c>
      <c r="F321" s="29" t="n">
        <f aca="false">INDEX(Sprint_Metrics!$F$7:$F$16,RANDBETWEEN(1,ROWS(Sprint_Metrics!$F$7:$F$16)))</f>
        <v>8</v>
      </c>
      <c r="G321" s="29" t="n">
        <f aca="false">INDEX(Sprint_Metrics!$F$7:$F$16,RANDBETWEEN(1,ROWS(Sprint_Metrics!$F$7:$F$16)))</f>
        <v>8</v>
      </c>
      <c r="H321" s="29" t="n">
        <f aca="false">INDEX(Sprint_Metrics!$F$7:$F$16,RANDBETWEEN(1,ROWS(Sprint_Metrics!$F$7:$F$16)))</f>
        <v>8</v>
      </c>
      <c r="I321" s="29" t="n">
        <f aca="false">INDEX(Sprint_Metrics!$F$7:$F$16,RANDBETWEEN(1,ROWS(Sprint_Metrics!$F$7:$F$16)))</f>
        <v>9</v>
      </c>
      <c r="J321" s="29" t="n">
        <f aca="false">B321</f>
        <v>7</v>
      </c>
      <c r="K321" s="29" t="n">
        <f aca="false">J321+C321</f>
        <v>18</v>
      </c>
      <c r="L321" s="29" t="n">
        <f aca="false">K321+D321</f>
        <v>26</v>
      </c>
      <c r="M321" s="29" t="n">
        <f aca="false">L321+E321</f>
        <v>35</v>
      </c>
      <c r="N321" s="29" t="n">
        <f aca="false">M321+F321</f>
        <v>43</v>
      </c>
      <c r="O321" s="29" t="n">
        <f aca="false">N321+G321</f>
        <v>51</v>
      </c>
      <c r="P321" s="29" t="n">
        <f aca="false">O321+H321</f>
        <v>59</v>
      </c>
      <c r="Q321" s="29" t="n">
        <f aca="false">P321+I321</f>
        <v>68</v>
      </c>
    </row>
    <row r="322" customFormat="false" ht="15" hidden="false" customHeight="false" outlineLevel="0" collapsed="false">
      <c r="A322" s="29" t="n">
        <v>321</v>
      </c>
      <c r="B322" s="29" t="n">
        <f aca="false">INDEX(Sprint_Metrics!$F$7:$F$16,RANDBETWEEN(1,ROWS(Sprint_Metrics!$F$7:$F$16)))</f>
        <v>7</v>
      </c>
      <c r="C322" s="29" t="n">
        <f aca="false">INDEX(Sprint_Metrics!$F$7:$F$16,RANDBETWEEN(1,ROWS(Sprint_Metrics!$F$7:$F$16)))</f>
        <v>8</v>
      </c>
      <c r="D322" s="29" t="n">
        <f aca="false">INDEX(Sprint_Metrics!$F$7:$F$16,RANDBETWEEN(1,ROWS(Sprint_Metrics!$F$7:$F$16)))</f>
        <v>7</v>
      </c>
      <c r="E322" s="29" t="n">
        <f aca="false">INDEX(Sprint_Metrics!$F$7:$F$16,RANDBETWEEN(1,ROWS(Sprint_Metrics!$F$7:$F$16)))</f>
        <v>12</v>
      </c>
      <c r="F322" s="29" t="n">
        <f aca="false">INDEX(Sprint_Metrics!$F$7:$F$16,RANDBETWEEN(1,ROWS(Sprint_Metrics!$F$7:$F$16)))</f>
        <v>9</v>
      </c>
      <c r="G322" s="29" t="n">
        <f aca="false">INDEX(Sprint_Metrics!$F$7:$F$16,RANDBETWEEN(1,ROWS(Sprint_Metrics!$F$7:$F$16)))</f>
        <v>8</v>
      </c>
      <c r="H322" s="29" t="n">
        <f aca="false">INDEX(Sprint_Metrics!$F$7:$F$16,RANDBETWEEN(1,ROWS(Sprint_Metrics!$F$7:$F$16)))</f>
        <v>7</v>
      </c>
      <c r="I322" s="29" t="n">
        <f aca="false">INDEX(Sprint_Metrics!$F$7:$F$16,RANDBETWEEN(1,ROWS(Sprint_Metrics!$F$7:$F$16)))</f>
        <v>12</v>
      </c>
      <c r="J322" s="29" t="n">
        <f aca="false">B322</f>
        <v>7</v>
      </c>
      <c r="K322" s="29" t="n">
        <f aca="false">J322+C322</f>
        <v>15</v>
      </c>
      <c r="L322" s="29" t="n">
        <f aca="false">K322+D322</f>
        <v>22</v>
      </c>
      <c r="M322" s="29" t="n">
        <f aca="false">L322+E322</f>
        <v>34</v>
      </c>
      <c r="N322" s="29" t="n">
        <f aca="false">M322+F322</f>
        <v>43</v>
      </c>
      <c r="O322" s="29" t="n">
        <f aca="false">N322+G322</f>
        <v>51</v>
      </c>
      <c r="P322" s="29" t="n">
        <f aca="false">O322+H322</f>
        <v>58</v>
      </c>
      <c r="Q322" s="29" t="n">
        <f aca="false">P322+I322</f>
        <v>70</v>
      </c>
    </row>
    <row r="323" customFormat="false" ht="15" hidden="false" customHeight="false" outlineLevel="0" collapsed="false">
      <c r="A323" s="29" t="n">
        <v>322</v>
      </c>
      <c r="B323" s="29" t="n">
        <f aca="false">INDEX(Sprint_Metrics!$F$7:$F$16,RANDBETWEEN(1,ROWS(Sprint_Metrics!$F$7:$F$16)))</f>
        <v>8</v>
      </c>
      <c r="C323" s="29" t="n">
        <f aca="false">INDEX(Sprint_Metrics!$F$7:$F$16,RANDBETWEEN(1,ROWS(Sprint_Metrics!$F$7:$F$16)))</f>
        <v>8</v>
      </c>
      <c r="D323" s="29" t="n">
        <f aca="false">INDEX(Sprint_Metrics!$F$7:$F$16,RANDBETWEEN(1,ROWS(Sprint_Metrics!$F$7:$F$16)))</f>
        <v>12</v>
      </c>
      <c r="E323" s="29" t="n">
        <f aca="false">INDEX(Sprint_Metrics!$F$7:$F$16,RANDBETWEEN(1,ROWS(Sprint_Metrics!$F$7:$F$16)))</f>
        <v>9</v>
      </c>
      <c r="F323" s="29" t="n">
        <f aca="false">INDEX(Sprint_Metrics!$F$7:$F$16,RANDBETWEEN(1,ROWS(Sprint_Metrics!$F$7:$F$16)))</f>
        <v>8</v>
      </c>
      <c r="G323" s="29" t="n">
        <f aca="false">INDEX(Sprint_Metrics!$F$7:$F$16,RANDBETWEEN(1,ROWS(Sprint_Metrics!$F$7:$F$16)))</f>
        <v>7</v>
      </c>
      <c r="H323" s="29" t="n">
        <f aca="false">INDEX(Sprint_Metrics!$F$7:$F$16,RANDBETWEEN(1,ROWS(Sprint_Metrics!$F$7:$F$16)))</f>
        <v>8</v>
      </c>
      <c r="I323" s="29" t="n">
        <f aca="false">INDEX(Sprint_Metrics!$F$7:$F$16,RANDBETWEEN(1,ROWS(Sprint_Metrics!$F$7:$F$16)))</f>
        <v>8</v>
      </c>
      <c r="J323" s="29" t="n">
        <f aca="false">B323</f>
        <v>8</v>
      </c>
      <c r="K323" s="29" t="n">
        <f aca="false">J323+C323</f>
        <v>16</v>
      </c>
      <c r="L323" s="29" t="n">
        <f aca="false">K323+D323</f>
        <v>28</v>
      </c>
      <c r="M323" s="29" t="n">
        <f aca="false">L323+E323</f>
        <v>37</v>
      </c>
      <c r="N323" s="29" t="n">
        <f aca="false">M323+F323</f>
        <v>45</v>
      </c>
      <c r="O323" s="29" t="n">
        <f aca="false">N323+G323</f>
        <v>52</v>
      </c>
      <c r="P323" s="29" t="n">
        <f aca="false">O323+H323</f>
        <v>60</v>
      </c>
      <c r="Q323" s="29" t="n">
        <f aca="false">P323+I323</f>
        <v>68</v>
      </c>
    </row>
    <row r="324" customFormat="false" ht="15" hidden="false" customHeight="false" outlineLevel="0" collapsed="false">
      <c r="A324" s="29" t="n">
        <v>323</v>
      </c>
      <c r="B324" s="29" t="n">
        <f aca="false">INDEX(Sprint_Metrics!$F$7:$F$16,RANDBETWEEN(1,ROWS(Sprint_Metrics!$F$7:$F$16)))</f>
        <v>9</v>
      </c>
      <c r="C324" s="29" t="n">
        <f aca="false">INDEX(Sprint_Metrics!$F$7:$F$16,RANDBETWEEN(1,ROWS(Sprint_Metrics!$F$7:$F$16)))</f>
        <v>8</v>
      </c>
      <c r="D324" s="29" t="n">
        <f aca="false">INDEX(Sprint_Metrics!$F$7:$F$16,RANDBETWEEN(1,ROWS(Sprint_Metrics!$F$7:$F$16)))</f>
        <v>9</v>
      </c>
      <c r="E324" s="29" t="n">
        <f aca="false">INDEX(Sprint_Metrics!$F$7:$F$16,RANDBETWEEN(1,ROWS(Sprint_Metrics!$F$7:$F$16)))</f>
        <v>9</v>
      </c>
      <c r="F324" s="29" t="n">
        <f aca="false">INDEX(Sprint_Metrics!$F$7:$F$16,RANDBETWEEN(1,ROWS(Sprint_Metrics!$F$7:$F$16)))</f>
        <v>12</v>
      </c>
      <c r="G324" s="29" t="n">
        <f aca="false">INDEX(Sprint_Metrics!$F$7:$F$16,RANDBETWEEN(1,ROWS(Sprint_Metrics!$F$7:$F$16)))</f>
        <v>9</v>
      </c>
      <c r="H324" s="29" t="n">
        <f aca="false">INDEX(Sprint_Metrics!$F$7:$F$16,RANDBETWEEN(1,ROWS(Sprint_Metrics!$F$7:$F$16)))</f>
        <v>11</v>
      </c>
      <c r="I324" s="29" t="n">
        <f aca="false">INDEX(Sprint_Metrics!$F$7:$F$16,RANDBETWEEN(1,ROWS(Sprint_Metrics!$F$7:$F$16)))</f>
        <v>8</v>
      </c>
      <c r="J324" s="29" t="n">
        <f aca="false">B324</f>
        <v>9</v>
      </c>
      <c r="K324" s="29" t="n">
        <f aca="false">J324+C324</f>
        <v>17</v>
      </c>
      <c r="L324" s="29" t="n">
        <f aca="false">K324+D324</f>
        <v>26</v>
      </c>
      <c r="M324" s="29" t="n">
        <f aca="false">L324+E324</f>
        <v>35</v>
      </c>
      <c r="N324" s="29" t="n">
        <f aca="false">M324+F324</f>
        <v>47</v>
      </c>
      <c r="O324" s="29" t="n">
        <f aca="false">N324+G324</f>
        <v>56</v>
      </c>
      <c r="P324" s="29" t="n">
        <f aca="false">O324+H324</f>
        <v>67</v>
      </c>
      <c r="Q324" s="29" t="n">
        <f aca="false">P324+I324</f>
        <v>75</v>
      </c>
    </row>
    <row r="325" customFormat="false" ht="15" hidden="false" customHeight="false" outlineLevel="0" collapsed="false">
      <c r="A325" s="29" t="n">
        <v>324</v>
      </c>
      <c r="B325" s="29" t="n">
        <f aca="false">INDEX(Sprint_Metrics!$F$7:$F$16,RANDBETWEEN(1,ROWS(Sprint_Metrics!$F$7:$F$16)))</f>
        <v>11</v>
      </c>
      <c r="C325" s="29" t="n">
        <f aca="false">INDEX(Sprint_Metrics!$F$7:$F$16,RANDBETWEEN(1,ROWS(Sprint_Metrics!$F$7:$F$16)))</f>
        <v>8</v>
      </c>
      <c r="D325" s="29" t="n">
        <f aca="false">INDEX(Sprint_Metrics!$F$7:$F$16,RANDBETWEEN(1,ROWS(Sprint_Metrics!$F$7:$F$16)))</f>
        <v>8</v>
      </c>
      <c r="E325" s="29" t="n">
        <f aca="false">INDEX(Sprint_Metrics!$F$7:$F$16,RANDBETWEEN(1,ROWS(Sprint_Metrics!$F$7:$F$16)))</f>
        <v>11</v>
      </c>
      <c r="F325" s="29" t="n">
        <f aca="false">INDEX(Sprint_Metrics!$F$7:$F$16,RANDBETWEEN(1,ROWS(Sprint_Metrics!$F$7:$F$16)))</f>
        <v>8</v>
      </c>
      <c r="G325" s="29" t="n">
        <f aca="false">INDEX(Sprint_Metrics!$F$7:$F$16,RANDBETWEEN(1,ROWS(Sprint_Metrics!$F$7:$F$16)))</f>
        <v>11</v>
      </c>
      <c r="H325" s="29" t="n">
        <f aca="false">INDEX(Sprint_Metrics!$F$7:$F$16,RANDBETWEEN(1,ROWS(Sprint_Metrics!$F$7:$F$16)))</f>
        <v>9</v>
      </c>
      <c r="I325" s="29" t="n">
        <f aca="false">INDEX(Sprint_Metrics!$F$7:$F$16,RANDBETWEEN(1,ROWS(Sprint_Metrics!$F$7:$F$16)))</f>
        <v>9</v>
      </c>
      <c r="J325" s="29" t="n">
        <f aca="false">B325</f>
        <v>11</v>
      </c>
      <c r="K325" s="29" t="n">
        <f aca="false">J325+C325</f>
        <v>19</v>
      </c>
      <c r="L325" s="29" t="n">
        <f aca="false">K325+D325</f>
        <v>27</v>
      </c>
      <c r="M325" s="29" t="n">
        <f aca="false">L325+E325</f>
        <v>38</v>
      </c>
      <c r="N325" s="29" t="n">
        <f aca="false">M325+F325</f>
        <v>46</v>
      </c>
      <c r="O325" s="29" t="n">
        <f aca="false">N325+G325</f>
        <v>57</v>
      </c>
      <c r="P325" s="29" t="n">
        <f aca="false">O325+H325</f>
        <v>66</v>
      </c>
      <c r="Q325" s="29" t="n">
        <f aca="false">P325+I325</f>
        <v>75</v>
      </c>
    </row>
    <row r="326" customFormat="false" ht="15" hidden="false" customHeight="false" outlineLevel="0" collapsed="false">
      <c r="A326" s="29" t="n">
        <v>325</v>
      </c>
      <c r="B326" s="29" t="n">
        <f aca="false">INDEX(Sprint_Metrics!$F$7:$F$16,RANDBETWEEN(1,ROWS(Sprint_Metrics!$F$7:$F$16)))</f>
        <v>9</v>
      </c>
      <c r="C326" s="29" t="n">
        <f aca="false">INDEX(Sprint_Metrics!$F$7:$F$16,RANDBETWEEN(1,ROWS(Sprint_Metrics!$F$7:$F$16)))</f>
        <v>11</v>
      </c>
      <c r="D326" s="29" t="n">
        <f aca="false">INDEX(Sprint_Metrics!$F$7:$F$16,RANDBETWEEN(1,ROWS(Sprint_Metrics!$F$7:$F$16)))</f>
        <v>12</v>
      </c>
      <c r="E326" s="29" t="n">
        <f aca="false">INDEX(Sprint_Metrics!$F$7:$F$16,RANDBETWEEN(1,ROWS(Sprint_Metrics!$F$7:$F$16)))</f>
        <v>7</v>
      </c>
      <c r="F326" s="29" t="n">
        <f aca="false">INDEX(Sprint_Metrics!$F$7:$F$16,RANDBETWEEN(1,ROWS(Sprint_Metrics!$F$7:$F$16)))</f>
        <v>9</v>
      </c>
      <c r="G326" s="29" t="n">
        <f aca="false">INDEX(Sprint_Metrics!$F$7:$F$16,RANDBETWEEN(1,ROWS(Sprint_Metrics!$F$7:$F$16)))</f>
        <v>11</v>
      </c>
      <c r="H326" s="29" t="n">
        <f aca="false">INDEX(Sprint_Metrics!$F$7:$F$16,RANDBETWEEN(1,ROWS(Sprint_Metrics!$F$7:$F$16)))</f>
        <v>9</v>
      </c>
      <c r="I326" s="29" t="n">
        <f aca="false">INDEX(Sprint_Metrics!$F$7:$F$16,RANDBETWEEN(1,ROWS(Sprint_Metrics!$F$7:$F$16)))</f>
        <v>8</v>
      </c>
      <c r="J326" s="29" t="n">
        <f aca="false">B326</f>
        <v>9</v>
      </c>
      <c r="K326" s="29" t="n">
        <f aca="false">J326+C326</f>
        <v>20</v>
      </c>
      <c r="L326" s="29" t="n">
        <f aca="false">K326+D326</f>
        <v>32</v>
      </c>
      <c r="M326" s="29" t="n">
        <f aca="false">L326+E326</f>
        <v>39</v>
      </c>
      <c r="N326" s="29" t="n">
        <f aca="false">M326+F326</f>
        <v>48</v>
      </c>
      <c r="O326" s="29" t="n">
        <f aca="false">N326+G326</f>
        <v>59</v>
      </c>
      <c r="P326" s="29" t="n">
        <f aca="false">O326+H326</f>
        <v>68</v>
      </c>
      <c r="Q326" s="29" t="n">
        <f aca="false">P326+I326</f>
        <v>76</v>
      </c>
    </row>
    <row r="327" customFormat="false" ht="15" hidden="false" customHeight="false" outlineLevel="0" collapsed="false">
      <c r="A327" s="29" t="n">
        <v>326</v>
      </c>
      <c r="B327" s="29" t="n">
        <f aca="false">INDEX(Sprint_Metrics!$F$7:$F$16,RANDBETWEEN(1,ROWS(Sprint_Metrics!$F$7:$F$16)))</f>
        <v>11</v>
      </c>
      <c r="C327" s="29" t="n">
        <f aca="false">INDEX(Sprint_Metrics!$F$7:$F$16,RANDBETWEEN(1,ROWS(Sprint_Metrics!$F$7:$F$16)))</f>
        <v>7</v>
      </c>
      <c r="D327" s="29" t="n">
        <f aca="false">INDEX(Sprint_Metrics!$F$7:$F$16,RANDBETWEEN(1,ROWS(Sprint_Metrics!$F$7:$F$16)))</f>
        <v>8</v>
      </c>
      <c r="E327" s="29" t="n">
        <f aca="false">INDEX(Sprint_Metrics!$F$7:$F$16,RANDBETWEEN(1,ROWS(Sprint_Metrics!$F$7:$F$16)))</f>
        <v>11</v>
      </c>
      <c r="F327" s="29" t="n">
        <f aca="false">INDEX(Sprint_Metrics!$F$7:$F$16,RANDBETWEEN(1,ROWS(Sprint_Metrics!$F$7:$F$16)))</f>
        <v>9</v>
      </c>
      <c r="G327" s="29" t="n">
        <f aca="false">INDEX(Sprint_Metrics!$F$7:$F$16,RANDBETWEEN(1,ROWS(Sprint_Metrics!$F$7:$F$16)))</f>
        <v>8</v>
      </c>
      <c r="H327" s="29" t="n">
        <f aca="false">INDEX(Sprint_Metrics!$F$7:$F$16,RANDBETWEEN(1,ROWS(Sprint_Metrics!$F$7:$F$16)))</f>
        <v>7</v>
      </c>
      <c r="I327" s="29" t="n">
        <f aca="false">INDEX(Sprint_Metrics!$F$7:$F$16,RANDBETWEEN(1,ROWS(Sprint_Metrics!$F$7:$F$16)))</f>
        <v>11</v>
      </c>
      <c r="J327" s="29" t="n">
        <f aca="false">B327</f>
        <v>11</v>
      </c>
      <c r="K327" s="29" t="n">
        <f aca="false">J327+C327</f>
        <v>18</v>
      </c>
      <c r="L327" s="29" t="n">
        <f aca="false">K327+D327</f>
        <v>26</v>
      </c>
      <c r="M327" s="29" t="n">
        <f aca="false">L327+E327</f>
        <v>37</v>
      </c>
      <c r="N327" s="29" t="n">
        <f aca="false">M327+F327</f>
        <v>46</v>
      </c>
      <c r="O327" s="29" t="n">
        <f aca="false">N327+G327</f>
        <v>54</v>
      </c>
      <c r="P327" s="29" t="n">
        <f aca="false">O327+H327</f>
        <v>61</v>
      </c>
      <c r="Q327" s="29" t="n">
        <f aca="false">P327+I327</f>
        <v>72</v>
      </c>
    </row>
    <row r="328" customFormat="false" ht="15" hidden="false" customHeight="false" outlineLevel="0" collapsed="false">
      <c r="A328" s="29" t="n">
        <v>327</v>
      </c>
      <c r="B328" s="29" t="n">
        <f aca="false">INDEX(Sprint_Metrics!$F$7:$F$16,RANDBETWEEN(1,ROWS(Sprint_Metrics!$F$7:$F$16)))</f>
        <v>12</v>
      </c>
      <c r="C328" s="29" t="n">
        <f aca="false">INDEX(Sprint_Metrics!$F$7:$F$16,RANDBETWEEN(1,ROWS(Sprint_Metrics!$F$7:$F$16)))</f>
        <v>9</v>
      </c>
      <c r="D328" s="29" t="n">
        <f aca="false">INDEX(Sprint_Metrics!$F$7:$F$16,RANDBETWEEN(1,ROWS(Sprint_Metrics!$F$7:$F$16)))</f>
        <v>7</v>
      </c>
      <c r="E328" s="29" t="n">
        <f aca="false">INDEX(Sprint_Metrics!$F$7:$F$16,RANDBETWEEN(1,ROWS(Sprint_Metrics!$F$7:$F$16)))</f>
        <v>11</v>
      </c>
      <c r="F328" s="29" t="n">
        <f aca="false">INDEX(Sprint_Metrics!$F$7:$F$16,RANDBETWEEN(1,ROWS(Sprint_Metrics!$F$7:$F$16)))</f>
        <v>9</v>
      </c>
      <c r="G328" s="29" t="n">
        <f aca="false">INDEX(Sprint_Metrics!$F$7:$F$16,RANDBETWEEN(1,ROWS(Sprint_Metrics!$F$7:$F$16)))</f>
        <v>7</v>
      </c>
      <c r="H328" s="29" t="n">
        <f aca="false">INDEX(Sprint_Metrics!$F$7:$F$16,RANDBETWEEN(1,ROWS(Sprint_Metrics!$F$7:$F$16)))</f>
        <v>8</v>
      </c>
      <c r="I328" s="29" t="n">
        <f aca="false">INDEX(Sprint_Metrics!$F$7:$F$16,RANDBETWEEN(1,ROWS(Sprint_Metrics!$F$7:$F$16)))</f>
        <v>7</v>
      </c>
      <c r="J328" s="29" t="n">
        <f aca="false">B328</f>
        <v>12</v>
      </c>
      <c r="K328" s="29" t="n">
        <f aca="false">J328+C328</f>
        <v>21</v>
      </c>
      <c r="L328" s="29" t="n">
        <f aca="false">K328+D328</f>
        <v>28</v>
      </c>
      <c r="M328" s="29" t="n">
        <f aca="false">L328+E328</f>
        <v>39</v>
      </c>
      <c r="N328" s="29" t="n">
        <f aca="false">M328+F328</f>
        <v>48</v>
      </c>
      <c r="O328" s="29" t="n">
        <f aca="false">N328+G328</f>
        <v>55</v>
      </c>
      <c r="P328" s="29" t="n">
        <f aca="false">O328+H328</f>
        <v>63</v>
      </c>
      <c r="Q328" s="29" t="n">
        <f aca="false">P328+I328</f>
        <v>70</v>
      </c>
    </row>
    <row r="329" customFormat="false" ht="15" hidden="false" customHeight="false" outlineLevel="0" collapsed="false">
      <c r="A329" s="29" t="n">
        <v>328</v>
      </c>
      <c r="B329" s="29" t="n">
        <f aca="false">INDEX(Sprint_Metrics!$F$7:$F$16,RANDBETWEEN(1,ROWS(Sprint_Metrics!$F$7:$F$16)))</f>
        <v>7</v>
      </c>
      <c r="C329" s="29" t="n">
        <f aca="false">INDEX(Sprint_Metrics!$F$7:$F$16,RANDBETWEEN(1,ROWS(Sprint_Metrics!$F$7:$F$16)))</f>
        <v>9</v>
      </c>
      <c r="D329" s="29" t="n">
        <f aca="false">INDEX(Sprint_Metrics!$F$7:$F$16,RANDBETWEEN(1,ROWS(Sprint_Metrics!$F$7:$F$16)))</f>
        <v>8</v>
      </c>
      <c r="E329" s="29" t="n">
        <f aca="false">INDEX(Sprint_Metrics!$F$7:$F$16,RANDBETWEEN(1,ROWS(Sprint_Metrics!$F$7:$F$16)))</f>
        <v>7</v>
      </c>
      <c r="F329" s="29" t="n">
        <f aca="false">INDEX(Sprint_Metrics!$F$7:$F$16,RANDBETWEEN(1,ROWS(Sprint_Metrics!$F$7:$F$16)))</f>
        <v>9</v>
      </c>
      <c r="G329" s="29" t="n">
        <f aca="false">INDEX(Sprint_Metrics!$F$7:$F$16,RANDBETWEEN(1,ROWS(Sprint_Metrics!$F$7:$F$16)))</f>
        <v>9</v>
      </c>
      <c r="H329" s="29" t="n">
        <f aca="false">INDEX(Sprint_Metrics!$F$7:$F$16,RANDBETWEEN(1,ROWS(Sprint_Metrics!$F$7:$F$16)))</f>
        <v>11</v>
      </c>
      <c r="I329" s="29" t="n">
        <f aca="false">INDEX(Sprint_Metrics!$F$7:$F$16,RANDBETWEEN(1,ROWS(Sprint_Metrics!$F$7:$F$16)))</f>
        <v>7</v>
      </c>
      <c r="J329" s="29" t="n">
        <f aca="false">B329</f>
        <v>7</v>
      </c>
      <c r="K329" s="29" t="n">
        <f aca="false">J329+C329</f>
        <v>16</v>
      </c>
      <c r="L329" s="29" t="n">
        <f aca="false">K329+D329</f>
        <v>24</v>
      </c>
      <c r="M329" s="29" t="n">
        <f aca="false">L329+E329</f>
        <v>31</v>
      </c>
      <c r="N329" s="29" t="n">
        <f aca="false">M329+F329</f>
        <v>40</v>
      </c>
      <c r="O329" s="29" t="n">
        <f aca="false">N329+G329</f>
        <v>49</v>
      </c>
      <c r="P329" s="29" t="n">
        <f aca="false">O329+H329</f>
        <v>60</v>
      </c>
      <c r="Q329" s="29" t="n">
        <f aca="false">P329+I329</f>
        <v>67</v>
      </c>
    </row>
    <row r="330" customFormat="false" ht="15" hidden="false" customHeight="false" outlineLevel="0" collapsed="false">
      <c r="A330" s="29" t="n">
        <v>329</v>
      </c>
      <c r="B330" s="29" t="n">
        <f aca="false">INDEX(Sprint_Metrics!$F$7:$F$16,RANDBETWEEN(1,ROWS(Sprint_Metrics!$F$7:$F$16)))</f>
        <v>9</v>
      </c>
      <c r="C330" s="29" t="n">
        <f aca="false">INDEX(Sprint_Metrics!$F$7:$F$16,RANDBETWEEN(1,ROWS(Sprint_Metrics!$F$7:$F$16)))</f>
        <v>12</v>
      </c>
      <c r="D330" s="29" t="n">
        <f aca="false">INDEX(Sprint_Metrics!$F$7:$F$16,RANDBETWEEN(1,ROWS(Sprint_Metrics!$F$7:$F$16)))</f>
        <v>8</v>
      </c>
      <c r="E330" s="29" t="n">
        <f aca="false">INDEX(Sprint_Metrics!$F$7:$F$16,RANDBETWEEN(1,ROWS(Sprint_Metrics!$F$7:$F$16)))</f>
        <v>8</v>
      </c>
      <c r="F330" s="29" t="n">
        <f aca="false">INDEX(Sprint_Metrics!$F$7:$F$16,RANDBETWEEN(1,ROWS(Sprint_Metrics!$F$7:$F$16)))</f>
        <v>9</v>
      </c>
      <c r="G330" s="29" t="n">
        <f aca="false">INDEX(Sprint_Metrics!$F$7:$F$16,RANDBETWEEN(1,ROWS(Sprint_Metrics!$F$7:$F$16)))</f>
        <v>9</v>
      </c>
      <c r="H330" s="29" t="n">
        <f aca="false">INDEX(Sprint_Metrics!$F$7:$F$16,RANDBETWEEN(1,ROWS(Sprint_Metrics!$F$7:$F$16)))</f>
        <v>9</v>
      </c>
      <c r="I330" s="29" t="n">
        <f aca="false">INDEX(Sprint_Metrics!$F$7:$F$16,RANDBETWEEN(1,ROWS(Sprint_Metrics!$F$7:$F$16)))</f>
        <v>12</v>
      </c>
      <c r="J330" s="29" t="n">
        <f aca="false">B330</f>
        <v>9</v>
      </c>
      <c r="K330" s="29" t="n">
        <f aca="false">J330+C330</f>
        <v>21</v>
      </c>
      <c r="L330" s="29" t="n">
        <f aca="false">K330+D330</f>
        <v>29</v>
      </c>
      <c r="M330" s="29" t="n">
        <f aca="false">L330+E330</f>
        <v>37</v>
      </c>
      <c r="N330" s="29" t="n">
        <f aca="false">M330+F330</f>
        <v>46</v>
      </c>
      <c r="O330" s="29" t="n">
        <f aca="false">N330+G330</f>
        <v>55</v>
      </c>
      <c r="P330" s="29" t="n">
        <f aca="false">O330+H330</f>
        <v>64</v>
      </c>
      <c r="Q330" s="29" t="n">
        <f aca="false">P330+I330</f>
        <v>76</v>
      </c>
    </row>
    <row r="331" customFormat="false" ht="15" hidden="false" customHeight="false" outlineLevel="0" collapsed="false">
      <c r="A331" s="29" t="n">
        <v>330</v>
      </c>
      <c r="B331" s="29" t="n">
        <f aca="false">INDEX(Sprint_Metrics!$F$7:$F$16,RANDBETWEEN(1,ROWS(Sprint_Metrics!$F$7:$F$16)))</f>
        <v>8</v>
      </c>
      <c r="C331" s="29" t="n">
        <f aca="false">INDEX(Sprint_Metrics!$F$7:$F$16,RANDBETWEEN(1,ROWS(Sprint_Metrics!$F$7:$F$16)))</f>
        <v>8</v>
      </c>
      <c r="D331" s="29" t="n">
        <f aca="false">INDEX(Sprint_Metrics!$F$7:$F$16,RANDBETWEEN(1,ROWS(Sprint_Metrics!$F$7:$F$16)))</f>
        <v>7</v>
      </c>
      <c r="E331" s="29" t="n">
        <f aca="false">INDEX(Sprint_Metrics!$F$7:$F$16,RANDBETWEEN(1,ROWS(Sprint_Metrics!$F$7:$F$16)))</f>
        <v>9</v>
      </c>
      <c r="F331" s="29" t="n">
        <f aca="false">INDEX(Sprint_Metrics!$F$7:$F$16,RANDBETWEEN(1,ROWS(Sprint_Metrics!$F$7:$F$16)))</f>
        <v>7</v>
      </c>
      <c r="G331" s="29" t="n">
        <f aca="false">INDEX(Sprint_Metrics!$F$7:$F$16,RANDBETWEEN(1,ROWS(Sprint_Metrics!$F$7:$F$16)))</f>
        <v>8</v>
      </c>
      <c r="H331" s="29" t="n">
        <f aca="false">INDEX(Sprint_Metrics!$F$7:$F$16,RANDBETWEEN(1,ROWS(Sprint_Metrics!$F$7:$F$16)))</f>
        <v>8</v>
      </c>
      <c r="I331" s="29" t="n">
        <f aca="false">INDEX(Sprint_Metrics!$F$7:$F$16,RANDBETWEEN(1,ROWS(Sprint_Metrics!$F$7:$F$16)))</f>
        <v>8</v>
      </c>
      <c r="J331" s="29" t="n">
        <f aca="false">B331</f>
        <v>8</v>
      </c>
      <c r="K331" s="29" t="n">
        <f aca="false">J331+C331</f>
        <v>16</v>
      </c>
      <c r="L331" s="29" t="n">
        <f aca="false">K331+D331</f>
        <v>23</v>
      </c>
      <c r="M331" s="29" t="n">
        <f aca="false">L331+E331</f>
        <v>32</v>
      </c>
      <c r="N331" s="29" t="n">
        <f aca="false">M331+F331</f>
        <v>39</v>
      </c>
      <c r="O331" s="29" t="n">
        <f aca="false">N331+G331</f>
        <v>47</v>
      </c>
      <c r="P331" s="29" t="n">
        <f aca="false">O331+H331</f>
        <v>55</v>
      </c>
      <c r="Q331" s="29" t="n">
        <f aca="false">P331+I331</f>
        <v>63</v>
      </c>
    </row>
    <row r="332" customFormat="false" ht="15" hidden="false" customHeight="false" outlineLevel="0" collapsed="false">
      <c r="A332" s="29" t="n">
        <v>331</v>
      </c>
      <c r="B332" s="29" t="n">
        <f aca="false">INDEX(Sprint_Metrics!$F$7:$F$16,RANDBETWEEN(1,ROWS(Sprint_Metrics!$F$7:$F$16)))</f>
        <v>11</v>
      </c>
      <c r="C332" s="29" t="n">
        <f aca="false">INDEX(Sprint_Metrics!$F$7:$F$16,RANDBETWEEN(1,ROWS(Sprint_Metrics!$F$7:$F$16)))</f>
        <v>8</v>
      </c>
      <c r="D332" s="29" t="n">
        <f aca="false">INDEX(Sprint_Metrics!$F$7:$F$16,RANDBETWEEN(1,ROWS(Sprint_Metrics!$F$7:$F$16)))</f>
        <v>12</v>
      </c>
      <c r="E332" s="29" t="n">
        <f aca="false">INDEX(Sprint_Metrics!$F$7:$F$16,RANDBETWEEN(1,ROWS(Sprint_Metrics!$F$7:$F$16)))</f>
        <v>8</v>
      </c>
      <c r="F332" s="29" t="n">
        <f aca="false">INDEX(Sprint_Metrics!$F$7:$F$16,RANDBETWEEN(1,ROWS(Sprint_Metrics!$F$7:$F$16)))</f>
        <v>7</v>
      </c>
      <c r="G332" s="29" t="n">
        <f aca="false">INDEX(Sprint_Metrics!$F$7:$F$16,RANDBETWEEN(1,ROWS(Sprint_Metrics!$F$7:$F$16)))</f>
        <v>7</v>
      </c>
      <c r="H332" s="29" t="n">
        <f aca="false">INDEX(Sprint_Metrics!$F$7:$F$16,RANDBETWEEN(1,ROWS(Sprint_Metrics!$F$7:$F$16)))</f>
        <v>9</v>
      </c>
      <c r="I332" s="29" t="n">
        <f aca="false">INDEX(Sprint_Metrics!$F$7:$F$16,RANDBETWEEN(1,ROWS(Sprint_Metrics!$F$7:$F$16)))</f>
        <v>8</v>
      </c>
      <c r="J332" s="29" t="n">
        <f aca="false">B332</f>
        <v>11</v>
      </c>
      <c r="K332" s="29" t="n">
        <f aca="false">J332+C332</f>
        <v>19</v>
      </c>
      <c r="L332" s="29" t="n">
        <f aca="false">K332+D332</f>
        <v>31</v>
      </c>
      <c r="M332" s="29" t="n">
        <f aca="false">L332+E332</f>
        <v>39</v>
      </c>
      <c r="N332" s="29" t="n">
        <f aca="false">M332+F332</f>
        <v>46</v>
      </c>
      <c r="O332" s="29" t="n">
        <f aca="false">N332+G332</f>
        <v>53</v>
      </c>
      <c r="P332" s="29" t="n">
        <f aca="false">O332+H332</f>
        <v>62</v>
      </c>
      <c r="Q332" s="29" t="n">
        <f aca="false">P332+I332</f>
        <v>70</v>
      </c>
    </row>
    <row r="333" customFormat="false" ht="15" hidden="false" customHeight="false" outlineLevel="0" collapsed="false">
      <c r="A333" s="29" t="n">
        <v>332</v>
      </c>
      <c r="B333" s="29" t="n">
        <f aca="false">INDEX(Sprint_Metrics!$F$7:$F$16,RANDBETWEEN(1,ROWS(Sprint_Metrics!$F$7:$F$16)))</f>
        <v>12</v>
      </c>
      <c r="C333" s="29" t="n">
        <f aca="false">INDEX(Sprint_Metrics!$F$7:$F$16,RANDBETWEEN(1,ROWS(Sprint_Metrics!$F$7:$F$16)))</f>
        <v>12</v>
      </c>
      <c r="D333" s="29" t="n">
        <f aca="false">INDEX(Sprint_Metrics!$F$7:$F$16,RANDBETWEEN(1,ROWS(Sprint_Metrics!$F$7:$F$16)))</f>
        <v>8</v>
      </c>
      <c r="E333" s="29" t="n">
        <f aca="false">INDEX(Sprint_Metrics!$F$7:$F$16,RANDBETWEEN(1,ROWS(Sprint_Metrics!$F$7:$F$16)))</f>
        <v>9</v>
      </c>
      <c r="F333" s="29" t="n">
        <f aca="false">INDEX(Sprint_Metrics!$F$7:$F$16,RANDBETWEEN(1,ROWS(Sprint_Metrics!$F$7:$F$16)))</f>
        <v>7</v>
      </c>
      <c r="G333" s="29" t="n">
        <f aca="false">INDEX(Sprint_Metrics!$F$7:$F$16,RANDBETWEEN(1,ROWS(Sprint_Metrics!$F$7:$F$16)))</f>
        <v>9</v>
      </c>
      <c r="H333" s="29" t="n">
        <f aca="false">INDEX(Sprint_Metrics!$F$7:$F$16,RANDBETWEEN(1,ROWS(Sprint_Metrics!$F$7:$F$16)))</f>
        <v>7</v>
      </c>
      <c r="I333" s="29" t="n">
        <f aca="false">INDEX(Sprint_Metrics!$F$7:$F$16,RANDBETWEEN(1,ROWS(Sprint_Metrics!$F$7:$F$16)))</f>
        <v>11</v>
      </c>
      <c r="J333" s="29" t="n">
        <f aca="false">B333</f>
        <v>12</v>
      </c>
      <c r="K333" s="29" t="n">
        <f aca="false">J333+C333</f>
        <v>24</v>
      </c>
      <c r="L333" s="29" t="n">
        <f aca="false">K333+D333</f>
        <v>32</v>
      </c>
      <c r="M333" s="29" t="n">
        <f aca="false">L333+E333</f>
        <v>41</v>
      </c>
      <c r="N333" s="29" t="n">
        <f aca="false">M333+F333</f>
        <v>48</v>
      </c>
      <c r="O333" s="29" t="n">
        <f aca="false">N333+G333</f>
        <v>57</v>
      </c>
      <c r="P333" s="29" t="n">
        <f aca="false">O333+H333</f>
        <v>64</v>
      </c>
      <c r="Q333" s="29" t="n">
        <f aca="false">P333+I333</f>
        <v>75</v>
      </c>
    </row>
    <row r="334" customFormat="false" ht="15" hidden="false" customHeight="false" outlineLevel="0" collapsed="false">
      <c r="A334" s="29" t="n">
        <v>333</v>
      </c>
      <c r="B334" s="29" t="n">
        <f aca="false">INDEX(Sprint_Metrics!$F$7:$F$16,RANDBETWEEN(1,ROWS(Sprint_Metrics!$F$7:$F$16)))</f>
        <v>11</v>
      </c>
      <c r="C334" s="29" t="n">
        <f aca="false">INDEX(Sprint_Metrics!$F$7:$F$16,RANDBETWEEN(1,ROWS(Sprint_Metrics!$F$7:$F$16)))</f>
        <v>9</v>
      </c>
      <c r="D334" s="29" t="n">
        <f aca="false">INDEX(Sprint_Metrics!$F$7:$F$16,RANDBETWEEN(1,ROWS(Sprint_Metrics!$F$7:$F$16)))</f>
        <v>8</v>
      </c>
      <c r="E334" s="29" t="n">
        <f aca="false">INDEX(Sprint_Metrics!$F$7:$F$16,RANDBETWEEN(1,ROWS(Sprint_Metrics!$F$7:$F$16)))</f>
        <v>8</v>
      </c>
      <c r="F334" s="29" t="n">
        <f aca="false">INDEX(Sprint_Metrics!$F$7:$F$16,RANDBETWEEN(1,ROWS(Sprint_Metrics!$F$7:$F$16)))</f>
        <v>8</v>
      </c>
      <c r="G334" s="29" t="n">
        <f aca="false">INDEX(Sprint_Metrics!$F$7:$F$16,RANDBETWEEN(1,ROWS(Sprint_Metrics!$F$7:$F$16)))</f>
        <v>8</v>
      </c>
      <c r="H334" s="29" t="n">
        <f aca="false">INDEX(Sprint_Metrics!$F$7:$F$16,RANDBETWEEN(1,ROWS(Sprint_Metrics!$F$7:$F$16)))</f>
        <v>11</v>
      </c>
      <c r="I334" s="29" t="n">
        <f aca="false">INDEX(Sprint_Metrics!$F$7:$F$16,RANDBETWEEN(1,ROWS(Sprint_Metrics!$F$7:$F$16)))</f>
        <v>8</v>
      </c>
      <c r="J334" s="29" t="n">
        <f aca="false">B334</f>
        <v>11</v>
      </c>
      <c r="K334" s="29" t="n">
        <f aca="false">J334+C334</f>
        <v>20</v>
      </c>
      <c r="L334" s="29" t="n">
        <f aca="false">K334+D334</f>
        <v>28</v>
      </c>
      <c r="M334" s="29" t="n">
        <f aca="false">L334+E334</f>
        <v>36</v>
      </c>
      <c r="N334" s="29" t="n">
        <f aca="false">M334+F334</f>
        <v>44</v>
      </c>
      <c r="O334" s="29" t="n">
        <f aca="false">N334+G334</f>
        <v>52</v>
      </c>
      <c r="P334" s="29" t="n">
        <f aca="false">O334+H334</f>
        <v>63</v>
      </c>
      <c r="Q334" s="29" t="n">
        <f aca="false">P334+I334</f>
        <v>71</v>
      </c>
    </row>
    <row r="335" customFormat="false" ht="15" hidden="false" customHeight="false" outlineLevel="0" collapsed="false">
      <c r="A335" s="29" t="n">
        <v>334</v>
      </c>
      <c r="B335" s="29" t="n">
        <f aca="false">INDEX(Sprint_Metrics!$F$7:$F$16,RANDBETWEEN(1,ROWS(Sprint_Metrics!$F$7:$F$16)))</f>
        <v>11</v>
      </c>
      <c r="C335" s="29" t="n">
        <f aca="false">INDEX(Sprint_Metrics!$F$7:$F$16,RANDBETWEEN(1,ROWS(Sprint_Metrics!$F$7:$F$16)))</f>
        <v>8</v>
      </c>
      <c r="D335" s="29" t="n">
        <f aca="false">INDEX(Sprint_Metrics!$F$7:$F$16,RANDBETWEEN(1,ROWS(Sprint_Metrics!$F$7:$F$16)))</f>
        <v>7</v>
      </c>
      <c r="E335" s="29" t="n">
        <f aca="false">INDEX(Sprint_Metrics!$F$7:$F$16,RANDBETWEEN(1,ROWS(Sprint_Metrics!$F$7:$F$16)))</f>
        <v>7</v>
      </c>
      <c r="F335" s="29" t="n">
        <f aca="false">INDEX(Sprint_Metrics!$F$7:$F$16,RANDBETWEEN(1,ROWS(Sprint_Metrics!$F$7:$F$16)))</f>
        <v>9</v>
      </c>
      <c r="G335" s="29" t="n">
        <f aca="false">INDEX(Sprint_Metrics!$F$7:$F$16,RANDBETWEEN(1,ROWS(Sprint_Metrics!$F$7:$F$16)))</f>
        <v>7</v>
      </c>
      <c r="H335" s="29" t="n">
        <f aca="false">INDEX(Sprint_Metrics!$F$7:$F$16,RANDBETWEEN(1,ROWS(Sprint_Metrics!$F$7:$F$16)))</f>
        <v>8</v>
      </c>
      <c r="I335" s="29" t="n">
        <f aca="false">INDEX(Sprint_Metrics!$F$7:$F$16,RANDBETWEEN(1,ROWS(Sprint_Metrics!$F$7:$F$16)))</f>
        <v>12</v>
      </c>
      <c r="J335" s="29" t="n">
        <f aca="false">B335</f>
        <v>11</v>
      </c>
      <c r="K335" s="29" t="n">
        <f aca="false">J335+C335</f>
        <v>19</v>
      </c>
      <c r="L335" s="29" t="n">
        <f aca="false">K335+D335</f>
        <v>26</v>
      </c>
      <c r="M335" s="29" t="n">
        <f aca="false">L335+E335</f>
        <v>33</v>
      </c>
      <c r="N335" s="29" t="n">
        <f aca="false">M335+F335</f>
        <v>42</v>
      </c>
      <c r="O335" s="29" t="n">
        <f aca="false">N335+G335</f>
        <v>49</v>
      </c>
      <c r="P335" s="29" t="n">
        <f aca="false">O335+H335</f>
        <v>57</v>
      </c>
      <c r="Q335" s="29" t="n">
        <f aca="false">P335+I335</f>
        <v>69</v>
      </c>
    </row>
    <row r="336" customFormat="false" ht="15" hidden="false" customHeight="false" outlineLevel="0" collapsed="false">
      <c r="A336" s="29" t="n">
        <v>335</v>
      </c>
      <c r="B336" s="29" t="n">
        <f aca="false">INDEX(Sprint_Metrics!$F$7:$F$16,RANDBETWEEN(1,ROWS(Sprint_Metrics!$F$7:$F$16)))</f>
        <v>7</v>
      </c>
      <c r="C336" s="29" t="n">
        <f aca="false">INDEX(Sprint_Metrics!$F$7:$F$16,RANDBETWEEN(1,ROWS(Sprint_Metrics!$F$7:$F$16)))</f>
        <v>12</v>
      </c>
      <c r="D336" s="29" t="n">
        <f aca="false">INDEX(Sprint_Metrics!$F$7:$F$16,RANDBETWEEN(1,ROWS(Sprint_Metrics!$F$7:$F$16)))</f>
        <v>7</v>
      </c>
      <c r="E336" s="29" t="n">
        <f aca="false">INDEX(Sprint_Metrics!$F$7:$F$16,RANDBETWEEN(1,ROWS(Sprint_Metrics!$F$7:$F$16)))</f>
        <v>11</v>
      </c>
      <c r="F336" s="29" t="n">
        <f aca="false">INDEX(Sprint_Metrics!$F$7:$F$16,RANDBETWEEN(1,ROWS(Sprint_Metrics!$F$7:$F$16)))</f>
        <v>8</v>
      </c>
      <c r="G336" s="29" t="n">
        <f aca="false">INDEX(Sprint_Metrics!$F$7:$F$16,RANDBETWEEN(1,ROWS(Sprint_Metrics!$F$7:$F$16)))</f>
        <v>7</v>
      </c>
      <c r="H336" s="29" t="n">
        <f aca="false">INDEX(Sprint_Metrics!$F$7:$F$16,RANDBETWEEN(1,ROWS(Sprint_Metrics!$F$7:$F$16)))</f>
        <v>8</v>
      </c>
      <c r="I336" s="29" t="n">
        <f aca="false">INDEX(Sprint_Metrics!$F$7:$F$16,RANDBETWEEN(1,ROWS(Sprint_Metrics!$F$7:$F$16)))</f>
        <v>8</v>
      </c>
      <c r="J336" s="29" t="n">
        <f aca="false">B336</f>
        <v>7</v>
      </c>
      <c r="K336" s="29" t="n">
        <f aca="false">J336+C336</f>
        <v>19</v>
      </c>
      <c r="L336" s="29" t="n">
        <f aca="false">K336+D336</f>
        <v>26</v>
      </c>
      <c r="M336" s="29" t="n">
        <f aca="false">L336+E336</f>
        <v>37</v>
      </c>
      <c r="N336" s="29" t="n">
        <f aca="false">M336+F336</f>
        <v>45</v>
      </c>
      <c r="O336" s="29" t="n">
        <f aca="false">N336+G336</f>
        <v>52</v>
      </c>
      <c r="P336" s="29" t="n">
        <f aca="false">O336+H336</f>
        <v>60</v>
      </c>
      <c r="Q336" s="29" t="n">
        <f aca="false">P336+I336</f>
        <v>68</v>
      </c>
    </row>
    <row r="337" customFormat="false" ht="15" hidden="false" customHeight="false" outlineLevel="0" collapsed="false">
      <c r="A337" s="29" t="n">
        <v>336</v>
      </c>
      <c r="B337" s="29" t="n">
        <f aca="false">INDEX(Sprint_Metrics!$F$7:$F$16,RANDBETWEEN(1,ROWS(Sprint_Metrics!$F$7:$F$16)))</f>
        <v>12</v>
      </c>
      <c r="C337" s="29" t="n">
        <f aca="false">INDEX(Sprint_Metrics!$F$7:$F$16,RANDBETWEEN(1,ROWS(Sprint_Metrics!$F$7:$F$16)))</f>
        <v>11</v>
      </c>
      <c r="D337" s="29" t="n">
        <f aca="false">INDEX(Sprint_Metrics!$F$7:$F$16,RANDBETWEEN(1,ROWS(Sprint_Metrics!$F$7:$F$16)))</f>
        <v>8</v>
      </c>
      <c r="E337" s="29" t="n">
        <f aca="false">INDEX(Sprint_Metrics!$F$7:$F$16,RANDBETWEEN(1,ROWS(Sprint_Metrics!$F$7:$F$16)))</f>
        <v>11</v>
      </c>
      <c r="F337" s="29" t="n">
        <f aca="false">INDEX(Sprint_Metrics!$F$7:$F$16,RANDBETWEEN(1,ROWS(Sprint_Metrics!$F$7:$F$16)))</f>
        <v>7</v>
      </c>
      <c r="G337" s="29" t="n">
        <f aca="false">INDEX(Sprint_Metrics!$F$7:$F$16,RANDBETWEEN(1,ROWS(Sprint_Metrics!$F$7:$F$16)))</f>
        <v>7</v>
      </c>
      <c r="H337" s="29" t="n">
        <f aca="false">INDEX(Sprint_Metrics!$F$7:$F$16,RANDBETWEEN(1,ROWS(Sprint_Metrics!$F$7:$F$16)))</f>
        <v>12</v>
      </c>
      <c r="I337" s="29" t="n">
        <f aca="false">INDEX(Sprint_Metrics!$F$7:$F$16,RANDBETWEEN(1,ROWS(Sprint_Metrics!$F$7:$F$16)))</f>
        <v>7</v>
      </c>
      <c r="J337" s="29" t="n">
        <f aca="false">B337</f>
        <v>12</v>
      </c>
      <c r="K337" s="29" t="n">
        <f aca="false">J337+C337</f>
        <v>23</v>
      </c>
      <c r="L337" s="29" t="n">
        <f aca="false">K337+D337</f>
        <v>31</v>
      </c>
      <c r="M337" s="29" t="n">
        <f aca="false">L337+E337</f>
        <v>42</v>
      </c>
      <c r="N337" s="29" t="n">
        <f aca="false">M337+F337</f>
        <v>49</v>
      </c>
      <c r="O337" s="29" t="n">
        <f aca="false">N337+G337</f>
        <v>56</v>
      </c>
      <c r="P337" s="29" t="n">
        <f aca="false">O337+H337</f>
        <v>68</v>
      </c>
      <c r="Q337" s="29" t="n">
        <f aca="false">P337+I337</f>
        <v>75</v>
      </c>
    </row>
    <row r="338" customFormat="false" ht="15" hidden="false" customHeight="false" outlineLevel="0" collapsed="false">
      <c r="A338" s="29" t="n">
        <v>337</v>
      </c>
      <c r="B338" s="29" t="n">
        <f aca="false">INDEX(Sprint_Metrics!$F$7:$F$16,RANDBETWEEN(1,ROWS(Sprint_Metrics!$F$7:$F$16)))</f>
        <v>9</v>
      </c>
      <c r="C338" s="29" t="n">
        <f aca="false">INDEX(Sprint_Metrics!$F$7:$F$16,RANDBETWEEN(1,ROWS(Sprint_Metrics!$F$7:$F$16)))</f>
        <v>12</v>
      </c>
      <c r="D338" s="29" t="n">
        <f aca="false">INDEX(Sprint_Metrics!$F$7:$F$16,RANDBETWEEN(1,ROWS(Sprint_Metrics!$F$7:$F$16)))</f>
        <v>7</v>
      </c>
      <c r="E338" s="29" t="n">
        <f aca="false">INDEX(Sprint_Metrics!$F$7:$F$16,RANDBETWEEN(1,ROWS(Sprint_Metrics!$F$7:$F$16)))</f>
        <v>8</v>
      </c>
      <c r="F338" s="29" t="n">
        <f aca="false">INDEX(Sprint_Metrics!$F$7:$F$16,RANDBETWEEN(1,ROWS(Sprint_Metrics!$F$7:$F$16)))</f>
        <v>9</v>
      </c>
      <c r="G338" s="29" t="n">
        <f aca="false">INDEX(Sprint_Metrics!$F$7:$F$16,RANDBETWEEN(1,ROWS(Sprint_Metrics!$F$7:$F$16)))</f>
        <v>9</v>
      </c>
      <c r="H338" s="29" t="n">
        <f aca="false">INDEX(Sprint_Metrics!$F$7:$F$16,RANDBETWEEN(1,ROWS(Sprint_Metrics!$F$7:$F$16)))</f>
        <v>7</v>
      </c>
      <c r="I338" s="29" t="n">
        <f aca="false">INDEX(Sprint_Metrics!$F$7:$F$16,RANDBETWEEN(1,ROWS(Sprint_Metrics!$F$7:$F$16)))</f>
        <v>8</v>
      </c>
      <c r="J338" s="29" t="n">
        <f aca="false">B338</f>
        <v>9</v>
      </c>
      <c r="K338" s="29" t="n">
        <f aca="false">J338+C338</f>
        <v>21</v>
      </c>
      <c r="L338" s="29" t="n">
        <f aca="false">K338+D338</f>
        <v>28</v>
      </c>
      <c r="M338" s="29" t="n">
        <f aca="false">L338+E338</f>
        <v>36</v>
      </c>
      <c r="N338" s="29" t="n">
        <f aca="false">M338+F338</f>
        <v>45</v>
      </c>
      <c r="O338" s="29" t="n">
        <f aca="false">N338+G338</f>
        <v>54</v>
      </c>
      <c r="P338" s="29" t="n">
        <f aca="false">O338+H338</f>
        <v>61</v>
      </c>
      <c r="Q338" s="29" t="n">
        <f aca="false">P338+I338</f>
        <v>69</v>
      </c>
    </row>
    <row r="339" customFormat="false" ht="15" hidden="false" customHeight="false" outlineLevel="0" collapsed="false">
      <c r="A339" s="29" t="n">
        <v>338</v>
      </c>
      <c r="B339" s="29" t="n">
        <f aca="false">INDEX(Sprint_Metrics!$F$7:$F$16,RANDBETWEEN(1,ROWS(Sprint_Metrics!$F$7:$F$16)))</f>
        <v>7</v>
      </c>
      <c r="C339" s="29" t="n">
        <f aca="false">INDEX(Sprint_Metrics!$F$7:$F$16,RANDBETWEEN(1,ROWS(Sprint_Metrics!$F$7:$F$16)))</f>
        <v>9</v>
      </c>
      <c r="D339" s="29" t="n">
        <f aca="false">INDEX(Sprint_Metrics!$F$7:$F$16,RANDBETWEEN(1,ROWS(Sprint_Metrics!$F$7:$F$16)))</f>
        <v>9</v>
      </c>
      <c r="E339" s="29" t="n">
        <f aca="false">INDEX(Sprint_Metrics!$F$7:$F$16,RANDBETWEEN(1,ROWS(Sprint_Metrics!$F$7:$F$16)))</f>
        <v>7</v>
      </c>
      <c r="F339" s="29" t="n">
        <f aca="false">INDEX(Sprint_Metrics!$F$7:$F$16,RANDBETWEEN(1,ROWS(Sprint_Metrics!$F$7:$F$16)))</f>
        <v>8</v>
      </c>
      <c r="G339" s="29" t="n">
        <f aca="false">INDEX(Sprint_Metrics!$F$7:$F$16,RANDBETWEEN(1,ROWS(Sprint_Metrics!$F$7:$F$16)))</f>
        <v>11</v>
      </c>
      <c r="H339" s="29" t="n">
        <f aca="false">INDEX(Sprint_Metrics!$F$7:$F$16,RANDBETWEEN(1,ROWS(Sprint_Metrics!$F$7:$F$16)))</f>
        <v>8</v>
      </c>
      <c r="I339" s="29" t="n">
        <f aca="false">INDEX(Sprint_Metrics!$F$7:$F$16,RANDBETWEEN(1,ROWS(Sprint_Metrics!$F$7:$F$16)))</f>
        <v>8</v>
      </c>
      <c r="J339" s="29" t="n">
        <f aca="false">B339</f>
        <v>7</v>
      </c>
      <c r="K339" s="29" t="n">
        <f aca="false">J339+C339</f>
        <v>16</v>
      </c>
      <c r="L339" s="29" t="n">
        <f aca="false">K339+D339</f>
        <v>25</v>
      </c>
      <c r="M339" s="29" t="n">
        <f aca="false">L339+E339</f>
        <v>32</v>
      </c>
      <c r="N339" s="29" t="n">
        <f aca="false">M339+F339</f>
        <v>40</v>
      </c>
      <c r="O339" s="29" t="n">
        <f aca="false">N339+G339</f>
        <v>51</v>
      </c>
      <c r="P339" s="29" t="n">
        <f aca="false">O339+H339</f>
        <v>59</v>
      </c>
      <c r="Q339" s="29" t="n">
        <f aca="false">P339+I339</f>
        <v>67</v>
      </c>
    </row>
    <row r="340" customFormat="false" ht="15" hidden="false" customHeight="false" outlineLevel="0" collapsed="false">
      <c r="A340" s="29" t="n">
        <v>339</v>
      </c>
      <c r="B340" s="29" t="n">
        <f aca="false">INDEX(Sprint_Metrics!$F$7:$F$16,RANDBETWEEN(1,ROWS(Sprint_Metrics!$F$7:$F$16)))</f>
        <v>9</v>
      </c>
      <c r="C340" s="29" t="n">
        <f aca="false">INDEX(Sprint_Metrics!$F$7:$F$16,RANDBETWEEN(1,ROWS(Sprint_Metrics!$F$7:$F$16)))</f>
        <v>9</v>
      </c>
      <c r="D340" s="29" t="n">
        <f aca="false">INDEX(Sprint_Metrics!$F$7:$F$16,RANDBETWEEN(1,ROWS(Sprint_Metrics!$F$7:$F$16)))</f>
        <v>7</v>
      </c>
      <c r="E340" s="29" t="n">
        <f aca="false">INDEX(Sprint_Metrics!$F$7:$F$16,RANDBETWEEN(1,ROWS(Sprint_Metrics!$F$7:$F$16)))</f>
        <v>9</v>
      </c>
      <c r="F340" s="29" t="n">
        <f aca="false">INDEX(Sprint_Metrics!$F$7:$F$16,RANDBETWEEN(1,ROWS(Sprint_Metrics!$F$7:$F$16)))</f>
        <v>8</v>
      </c>
      <c r="G340" s="29" t="n">
        <f aca="false">INDEX(Sprint_Metrics!$F$7:$F$16,RANDBETWEEN(1,ROWS(Sprint_Metrics!$F$7:$F$16)))</f>
        <v>12</v>
      </c>
      <c r="H340" s="29" t="n">
        <f aca="false">INDEX(Sprint_Metrics!$F$7:$F$16,RANDBETWEEN(1,ROWS(Sprint_Metrics!$F$7:$F$16)))</f>
        <v>8</v>
      </c>
      <c r="I340" s="29" t="n">
        <f aca="false">INDEX(Sprint_Metrics!$F$7:$F$16,RANDBETWEEN(1,ROWS(Sprint_Metrics!$F$7:$F$16)))</f>
        <v>8</v>
      </c>
      <c r="J340" s="29" t="n">
        <f aca="false">B340</f>
        <v>9</v>
      </c>
      <c r="K340" s="29" t="n">
        <f aca="false">J340+C340</f>
        <v>18</v>
      </c>
      <c r="L340" s="29" t="n">
        <f aca="false">K340+D340</f>
        <v>25</v>
      </c>
      <c r="M340" s="29" t="n">
        <f aca="false">L340+E340</f>
        <v>34</v>
      </c>
      <c r="N340" s="29" t="n">
        <f aca="false">M340+F340</f>
        <v>42</v>
      </c>
      <c r="O340" s="29" t="n">
        <f aca="false">N340+G340</f>
        <v>54</v>
      </c>
      <c r="P340" s="29" t="n">
        <f aca="false">O340+H340</f>
        <v>62</v>
      </c>
      <c r="Q340" s="29" t="n">
        <f aca="false">P340+I340</f>
        <v>70</v>
      </c>
    </row>
    <row r="341" customFormat="false" ht="15" hidden="false" customHeight="false" outlineLevel="0" collapsed="false">
      <c r="A341" s="29" t="n">
        <v>340</v>
      </c>
      <c r="B341" s="29" t="n">
        <f aca="false">INDEX(Sprint_Metrics!$F$7:$F$16,RANDBETWEEN(1,ROWS(Sprint_Metrics!$F$7:$F$16)))</f>
        <v>8</v>
      </c>
      <c r="C341" s="29" t="n">
        <f aca="false">INDEX(Sprint_Metrics!$F$7:$F$16,RANDBETWEEN(1,ROWS(Sprint_Metrics!$F$7:$F$16)))</f>
        <v>7</v>
      </c>
      <c r="D341" s="29" t="n">
        <f aca="false">INDEX(Sprint_Metrics!$F$7:$F$16,RANDBETWEEN(1,ROWS(Sprint_Metrics!$F$7:$F$16)))</f>
        <v>12</v>
      </c>
      <c r="E341" s="29" t="n">
        <f aca="false">INDEX(Sprint_Metrics!$F$7:$F$16,RANDBETWEEN(1,ROWS(Sprint_Metrics!$F$7:$F$16)))</f>
        <v>8</v>
      </c>
      <c r="F341" s="29" t="n">
        <f aca="false">INDEX(Sprint_Metrics!$F$7:$F$16,RANDBETWEEN(1,ROWS(Sprint_Metrics!$F$7:$F$16)))</f>
        <v>9</v>
      </c>
      <c r="G341" s="29" t="n">
        <f aca="false">INDEX(Sprint_Metrics!$F$7:$F$16,RANDBETWEEN(1,ROWS(Sprint_Metrics!$F$7:$F$16)))</f>
        <v>9</v>
      </c>
      <c r="H341" s="29" t="n">
        <f aca="false">INDEX(Sprint_Metrics!$F$7:$F$16,RANDBETWEEN(1,ROWS(Sprint_Metrics!$F$7:$F$16)))</f>
        <v>8</v>
      </c>
      <c r="I341" s="29" t="n">
        <f aca="false">INDEX(Sprint_Metrics!$F$7:$F$16,RANDBETWEEN(1,ROWS(Sprint_Metrics!$F$7:$F$16)))</f>
        <v>8</v>
      </c>
      <c r="J341" s="29" t="n">
        <f aca="false">B341</f>
        <v>8</v>
      </c>
      <c r="K341" s="29" t="n">
        <f aca="false">J341+C341</f>
        <v>15</v>
      </c>
      <c r="L341" s="29" t="n">
        <f aca="false">K341+D341</f>
        <v>27</v>
      </c>
      <c r="M341" s="29" t="n">
        <f aca="false">L341+E341</f>
        <v>35</v>
      </c>
      <c r="N341" s="29" t="n">
        <f aca="false">M341+F341</f>
        <v>44</v>
      </c>
      <c r="O341" s="29" t="n">
        <f aca="false">N341+G341</f>
        <v>53</v>
      </c>
      <c r="P341" s="29" t="n">
        <f aca="false">O341+H341</f>
        <v>61</v>
      </c>
      <c r="Q341" s="29" t="n">
        <f aca="false">P341+I341</f>
        <v>69</v>
      </c>
    </row>
    <row r="342" customFormat="false" ht="15" hidden="false" customHeight="false" outlineLevel="0" collapsed="false">
      <c r="A342" s="29" t="n">
        <v>341</v>
      </c>
      <c r="B342" s="29" t="n">
        <f aca="false">INDEX(Sprint_Metrics!$F$7:$F$16,RANDBETWEEN(1,ROWS(Sprint_Metrics!$F$7:$F$16)))</f>
        <v>9</v>
      </c>
      <c r="C342" s="29" t="n">
        <f aca="false">INDEX(Sprint_Metrics!$F$7:$F$16,RANDBETWEEN(1,ROWS(Sprint_Metrics!$F$7:$F$16)))</f>
        <v>9</v>
      </c>
      <c r="D342" s="29" t="n">
        <f aca="false">INDEX(Sprint_Metrics!$F$7:$F$16,RANDBETWEEN(1,ROWS(Sprint_Metrics!$F$7:$F$16)))</f>
        <v>8</v>
      </c>
      <c r="E342" s="29" t="n">
        <f aca="false">INDEX(Sprint_Metrics!$F$7:$F$16,RANDBETWEEN(1,ROWS(Sprint_Metrics!$F$7:$F$16)))</f>
        <v>9</v>
      </c>
      <c r="F342" s="29" t="n">
        <f aca="false">INDEX(Sprint_Metrics!$F$7:$F$16,RANDBETWEEN(1,ROWS(Sprint_Metrics!$F$7:$F$16)))</f>
        <v>12</v>
      </c>
      <c r="G342" s="29" t="n">
        <f aca="false">INDEX(Sprint_Metrics!$F$7:$F$16,RANDBETWEEN(1,ROWS(Sprint_Metrics!$F$7:$F$16)))</f>
        <v>11</v>
      </c>
      <c r="H342" s="29" t="n">
        <f aca="false">INDEX(Sprint_Metrics!$F$7:$F$16,RANDBETWEEN(1,ROWS(Sprint_Metrics!$F$7:$F$16)))</f>
        <v>8</v>
      </c>
      <c r="I342" s="29" t="n">
        <f aca="false">INDEX(Sprint_Metrics!$F$7:$F$16,RANDBETWEEN(1,ROWS(Sprint_Metrics!$F$7:$F$16)))</f>
        <v>9</v>
      </c>
      <c r="J342" s="29" t="n">
        <f aca="false">B342</f>
        <v>9</v>
      </c>
      <c r="K342" s="29" t="n">
        <f aca="false">J342+C342</f>
        <v>18</v>
      </c>
      <c r="L342" s="29" t="n">
        <f aca="false">K342+D342</f>
        <v>26</v>
      </c>
      <c r="M342" s="29" t="n">
        <f aca="false">L342+E342</f>
        <v>35</v>
      </c>
      <c r="N342" s="29" t="n">
        <f aca="false">M342+F342</f>
        <v>47</v>
      </c>
      <c r="O342" s="29" t="n">
        <f aca="false">N342+G342</f>
        <v>58</v>
      </c>
      <c r="P342" s="29" t="n">
        <f aca="false">O342+H342</f>
        <v>66</v>
      </c>
      <c r="Q342" s="29" t="n">
        <f aca="false">P342+I342</f>
        <v>75</v>
      </c>
    </row>
    <row r="343" customFormat="false" ht="15" hidden="false" customHeight="false" outlineLevel="0" collapsed="false">
      <c r="A343" s="29" t="n">
        <v>342</v>
      </c>
      <c r="B343" s="29" t="n">
        <f aca="false">INDEX(Sprint_Metrics!$F$7:$F$16,RANDBETWEEN(1,ROWS(Sprint_Metrics!$F$7:$F$16)))</f>
        <v>9</v>
      </c>
      <c r="C343" s="29" t="n">
        <f aca="false">INDEX(Sprint_Metrics!$F$7:$F$16,RANDBETWEEN(1,ROWS(Sprint_Metrics!$F$7:$F$16)))</f>
        <v>7</v>
      </c>
      <c r="D343" s="29" t="n">
        <f aca="false">INDEX(Sprint_Metrics!$F$7:$F$16,RANDBETWEEN(1,ROWS(Sprint_Metrics!$F$7:$F$16)))</f>
        <v>8</v>
      </c>
      <c r="E343" s="29" t="n">
        <f aca="false">INDEX(Sprint_Metrics!$F$7:$F$16,RANDBETWEEN(1,ROWS(Sprint_Metrics!$F$7:$F$16)))</f>
        <v>8</v>
      </c>
      <c r="F343" s="29" t="n">
        <f aca="false">INDEX(Sprint_Metrics!$F$7:$F$16,RANDBETWEEN(1,ROWS(Sprint_Metrics!$F$7:$F$16)))</f>
        <v>9</v>
      </c>
      <c r="G343" s="29" t="n">
        <f aca="false">INDEX(Sprint_Metrics!$F$7:$F$16,RANDBETWEEN(1,ROWS(Sprint_Metrics!$F$7:$F$16)))</f>
        <v>8</v>
      </c>
      <c r="H343" s="29" t="n">
        <f aca="false">INDEX(Sprint_Metrics!$F$7:$F$16,RANDBETWEEN(1,ROWS(Sprint_Metrics!$F$7:$F$16)))</f>
        <v>7</v>
      </c>
      <c r="I343" s="29" t="n">
        <f aca="false">INDEX(Sprint_Metrics!$F$7:$F$16,RANDBETWEEN(1,ROWS(Sprint_Metrics!$F$7:$F$16)))</f>
        <v>11</v>
      </c>
      <c r="J343" s="29" t="n">
        <f aca="false">B343</f>
        <v>9</v>
      </c>
      <c r="K343" s="29" t="n">
        <f aca="false">J343+C343</f>
        <v>16</v>
      </c>
      <c r="L343" s="29" t="n">
        <f aca="false">K343+D343</f>
        <v>24</v>
      </c>
      <c r="M343" s="29" t="n">
        <f aca="false">L343+E343</f>
        <v>32</v>
      </c>
      <c r="N343" s="29" t="n">
        <f aca="false">M343+F343</f>
        <v>41</v>
      </c>
      <c r="O343" s="29" t="n">
        <f aca="false">N343+G343</f>
        <v>49</v>
      </c>
      <c r="P343" s="29" t="n">
        <f aca="false">O343+H343</f>
        <v>56</v>
      </c>
      <c r="Q343" s="29" t="n">
        <f aca="false">P343+I343</f>
        <v>67</v>
      </c>
    </row>
    <row r="344" customFormat="false" ht="15" hidden="false" customHeight="false" outlineLevel="0" collapsed="false">
      <c r="A344" s="29" t="n">
        <v>343</v>
      </c>
      <c r="B344" s="29" t="n">
        <f aca="false">INDEX(Sprint_Metrics!$F$7:$F$16,RANDBETWEEN(1,ROWS(Sprint_Metrics!$F$7:$F$16)))</f>
        <v>8</v>
      </c>
      <c r="C344" s="29" t="n">
        <f aca="false">INDEX(Sprint_Metrics!$F$7:$F$16,RANDBETWEEN(1,ROWS(Sprint_Metrics!$F$7:$F$16)))</f>
        <v>7</v>
      </c>
      <c r="D344" s="29" t="n">
        <f aca="false">INDEX(Sprint_Metrics!$F$7:$F$16,RANDBETWEEN(1,ROWS(Sprint_Metrics!$F$7:$F$16)))</f>
        <v>12</v>
      </c>
      <c r="E344" s="29" t="n">
        <f aca="false">INDEX(Sprint_Metrics!$F$7:$F$16,RANDBETWEEN(1,ROWS(Sprint_Metrics!$F$7:$F$16)))</f>
        <v>7</v>
      </c>
      <c r="F344" s="29" t="n">
        <f aca="false">INDEX(Sprint_Metrics!$F$7:$F$16,RANDBETWEEN(1,ROWS(Sprint_Metrics!$F$7:$F$16)))</f>
        <v>8</v>
      </c>
      <c r="G344" s="29" t="n">
        <f aca="false">INDEX(Sprint_Metrics!$F$7:$F$16,RANDBETWEEN(1,ROWS(Sprint_Metrics!$F$7:$F$16)))</f>
        <v>9</v>
      </c>
      <c r="H344" s="29" t="n">
        <f aca="false">INDEX(Sprint_Metrics!$F$7:$F$16,RANDBETWEEN(1,ROWS(Sprint_Metrics!$F$7:$F$16)))</f>
        <v>8</v>
      </c>
      <c r="I344" s="29" t="n">
        <f aca="false">INDEX(Sprint_Metrics!$F$7:$F$16,RANDBETWEEN(1,ROWS(Sprint_Metrics!$F$7:$F$16)))</f>
        <v>9</v>
      </c>
      <c r="J344" s="29" t="n">
        <f aca="false">B344</f>
        <v>8</v>
      </c>
      <c r="K344" s="29" t="n">
        <f aca="false">J344+C344</f>
        <v>15</v>
      </c>
      <c r="L344" s="29" t="n">
        <f aca="false">K344+D344</f>
        <v>27</v>
      </c>
      <c r="M344" s="29" t="n">
        <f aca="false">L344+E344</f>
        <v>34</v>
      </c>
      <c r="N344" s="29" t="n">
        <f aca="false">M344+F344</f>
        <v>42</v>
      </c>
      <c r="O344" s="29" t="n">
        <f aca="false">N344+G344</f>
        <v>51</v>
      </c>
      <c r="P344" s="29" t="n">
        <f aca="false">O344+H344</f>
        <v>59</v>
      </c>
      <c r="Q344" s="29" t="n">
        <f aca="false">P344+I344</f>
        <v>68</v>
      </c>
    </row>
    <row r="345" customFormat="false" ht="15" hidden="false" customHeight="false" outlineLevel="0" collapsed="false">
      <c r="A345" s="29" t="n">
        <v>344</v>
      </c>
      <c r="B345" s="29" t="n">
        <f aca="false">INDEX(Sprint_Metrics!$F$7:$F$16,RANDBETWEEN(1,ROWS(Sprint_Metrics!$F$7:$F$16)))</f>
        <v>9</v>
      </c>
      <c r="C345" s="29" t="n">
        <f aca="false">INDEX(Sprint_Metrics!$F$7:$F$16,RANDBETWEEN(1,ROWS(Sprint_Metrics!$F$7:$F$16)))</f>
        <v>9</v>
      </c>
      <c r="D345" s="29" t="n">
        <f aca="false">INDEX(Sprint_Metrics!$F$7:$F$16,RANDBETWEEN(1,ROWS(Sprint_Metrics!$F$7:$F$16)))</f>
        <v>9</v>
      </c>
      <c r="E345" s="29" t="n">
        <f aca="false">INDEX(Sprint_Metrics!$F$7:$F$16,RANDBETWEEN(1,ROWS(Sprint_Metrics!$F$7:$F$16)))</f>
        <v>8</v>
      </c>
      <c r="F345" s="29" t="n">
        <f aca="false">INDEX(Sprint_Metrics!$F$7:$F$16,RANDBETWEEN(1,ROWS(Sprint_Metrics!$F$7:$F$16)))</f>
        <v>8</v>
      </c>
      <c r="G345" s="29" t="n">
        <f aca="false">INDEX(Sprint_Metrics!$F$7:$F$16,RANDBETWEEN(1,ROWS(Sprint_Metrics!$F$7:$F$16)))</f>
        <v>9</v>
      </c>
      <c r="H345" s="29" t="n">
        <f aca="false">INDEX(Sprint_Metrics!$F$7:$F$16,RANDBETWEEN(1,ROWS(Sprint_Metrics!$F$7:$F$16)))</f>
        <v>7</v>
      </c>
      <c r="I345" s="29" t="n">
        <f aca="false">INDEX(Sprint_Metrics!$F$7:$F$16,RANDBETWEEN(1,ROWS(Sprint_Metrics!$F$7:$F$16)))</f>
        <v>8</v>
      </c>
      <c r="J345" s="29" t="n">
        <f aca="false">B345</f>
        <v>9</v>
      </c>
      <c r="K345" s="29" t="n">
        <f aca="false">J345+C345</f>
        <v>18</v>
      </c>
      <c r="L345" s="29" t="n">
        <f aca="false">K345+D345</f>
        <v>27</v>
      </c>
      <c r="M345" s="29" t="n">
        <f aca="false">L345+E345</f>
        <v>35</v>
      </c>
      <c r="N345" s="29" t="n">
        <f aca="false">M345+F345</f>
        <v>43</v>
      </c>
      <c r="O345" s="29" t="n">
        <f aca="false">N345+G345</f>
        <v>52</v>
      </c>
      <c r="P345" s="29" t="n">
        <f aca="false">O345+H345</f>
        <v>59</v>
      </c>
      <c r="Q345" s="29" t="n">
        <f aca="false">P345+I345</f>
        <v>67</v>
      </c>
    </row>
    <row r="346" customFormat="false" ht="15" hidden="false" customHeight="false" outlineLevel="0" collapsed="false">
      <c r="A346" s="29" t="n">
        <v>345</v>
      </c>
      <c r="B346" s="29" t="n">
        <f aca="false">INDEX(Sprint_Metrics!$F$7:$F$16,RANDBETWEEN(1,ROWS(Sprint_Metrics!$F$7:$F$16)))</f>
        <v>7</v>
      </c>
      <c r="C346" s="29" t="n">
        <f aca="false">INDEX(Sprint_Metrics!$F$7:$F$16,RANDBETWEEN(1,ROWS(Sprint_Metrics!$F$7:$F$16)))</f>
        <v>11</v>
      </c>
      <c r="D346" s="29" t="n">
        <f aca="false">INDEX(Sprint_Metrics!$F$7:$F$16,RANDBETWEEN(1,ROWS(Sprint_Metrics!$F$7:$F$16)))</f>
        <v>12</v>
      </c>
      <c r="E346" s="29" t="n">
        <f aca="false">INDEX(Sprint_Metrics!$F$7:$F$16,RANDBETWEEN(1,ROWS(Sprint_Metrics!$F$7:$F$16)))</f>
        <v>11</v>
      </c>
      <c r="F346" s="29" t="n">
        <f aca="false">INDEX(Sprint_Metrics!$F$7:$F$16,RANDBETWEEN(1,ROWS(Sprint_Metrics!$F$7:$F$16)))</f>
        <v>7</v>
      </c>
      <c r="G346" s="29" t="n">
        <f aca="false">INDEX(Sprint_Metrics!$F$7:$F$16,RANDBETWEEN(1,ROWS(Sprint_Metrics!$F$7:$F$16)))</f>
        <v>7</v>
      </c>
      <c r="H346" s="29" t="n">
        <f aca="false">INDEX(Sprint_Metrics!$F$7:$F$16,RANDBETWEEN(1,ROWS(Sprint_Metrics!$F$7:$F$16)))</f>
        <v>11</v>
      </c>
      <c r="I346" s="29" t="n">
        <f aca="false">INDEX(Sprint_Metrics!$F$7:$F$16,RANDBETWEEN(1,ROWS(Sprint_Metrics!$F$7:$F$16)))</f>
        <v>8</v>
      </c>
      <c r="J346" s="29" t="n">
        <f aca="false">B346</f>
        <v>7</v>
      </c>
      <c r="K346" s="29" t="n">
        <f aca="false">J346+C346</f>
        <v>18</v>
      </c>
      <c r="L346" s="29" t="n">
        <f aca="false">K346+D346</f>
        <v>30</v>
      </c>
      <c r="M346" s="29" t="n">
        <f aca="false">L346+E346</f>
        <v>41</v>
      </c>
      <c r="N346" s="29" t="n">
        <f aca="false">M346+F346</f>
        <v>48</v>
      </c>
      <c r="O346" s="29" t="n">
        <f aca="false">N346+G346</f>
        <v>55</v>
      </c>
      <c r="P346" s="29" t="n">
        <f aca="false">O346+H346</f>
        <v>66</v>
      </c>
      <c r="Q346" s="29" t="n">
        <f aca="false">P346+I346</f>
        <v>74</v>
      </c>
    </row>
    <row r="347" customFormat="false" ht="15" hidden="false" customHeight="false" outlineLevel="0" collapsed="false">
      <c r="A347" s="29" t="n">
        <v>346</v>
      </c>
      <c r="B347" s="29" t="n">
        <f aca="false">INDEX(Sprint_Metrics!$F$7:$F$16,RANDBETWEEN(1,ROWS(Sprint_Metrics!$F$7:$F$16)))</f>
        <v>12</v>
      </c>
      <c r="C347" s="29" t="n">
        <f aca="false">INDEX(Sprint_Metrics!$F$7:$F$16,RANDBETWEEN(1,ROWS(Sprint_Metrics!$F$7:$F$16)))</f>
        <v>8</v>
      </c>
      <c r="D347" s="29" t="n">
        <f aca="false">INDEX(Sprint_Metrics!$F$7:$F$16,RANDBETWEEN(1,ROWS(Sprint_Metrics!$F$7:$F$16)))</f>
        <v>11</v>
      </c>
      <c r="E347" s="29" t="n">
        <f aca="false">INDEX(Sprint_Metrics!$F$7:$F$16,RANDBETWEEN(1,ROWS(Sprint_Metrics!$F$7:$F$16)))</f>
        <v>7</v>
      </c>
      <c r="F347" s="29" t="n">
        <f aca="false">INDEX(Sprint_Metrics!$F$7:$F$16,RANDBETWEEN(1,ROWS(Sprint_Metrics!$F$7:$F$16)))</f>
        <v>11</v>
      </c>
      <c r="G347" s="29" t="n">
        <f aca="false">INDEX(Sprint_Metrics!$F$7:$F$16,RANDBETWEEN(1,ROWS(Sprint_Metrics!$F$7:$F$16)))</f>
        <v>12</v>
      </c>
      <c r="H347" s="29" t="n">
        <f aca="false">INDEX(Sprint_Metrics!$F$7:$F$16,RANDBETWEEN(1,ROWS(Sprint_Metrics!$F$7:$F$16)))</f>
        <v>7</v>
      </c>
      <c r="I347" s="29" t="n">
        <f aca="false">INDEX(Sprint_Metrics!$F$7:$F$16,RANDBETWEEN(1,ROWS(Sprint_Metrics!$F$7:$F$16)))</f>
        <v>9</v>
      </c>
      <c r="J347" s="29" t="n">
        <f aca="false">B347</f>
        <v>12</v>
      </c>
      <c r="K347" s="29" t="n">
        <f aca="false">J347+C347</f>
        <v>20</v>
      </c>
      <c r="L347" s="29" t="n">
        <f aca="false">K347+D347</f>
        <v>31</v>
      </c>
      <c r="M347" s="29" t="n">
        <f aca="false">L347+E347</f>
        <v>38</v>
      </c>
      <c r="N347" s="29" t="n">
        <f aca="false">M347+F347</f>
        <v>49</v>
      </c>
      <c r="O347" s="29" t="n">
        <f aca="false">N347+G347</f>
        <v>61</v>
      </c>
      <c r="P347" s="29" t="n">
        <f aca="false">O347+H347</f>
        <v>68</v>
      </c>
      <c r="Q347" s="29" t="n">
        <f aca="false">P347+I347</f>
        <v>77</v>
      </c>
    </row>
    <row r="348" customFormat="false" ht="15" hidden="false" customHeight="false" outlineLevel="0" collapsed="false">
      <c r="A348" s="29" t="n">
        <v>347</v>
      </c>
      <c r="B348" s="29" t="n">
        <f aca="false">INDEX(Sprint_Metrics!$F$7:$F$16,RANDBETWEEN(1,ROWS(Sprint_Metrics!$F$7:$F$16)))</f>
        <v>11</v>
      </c>
      <c r="C348" s="29" t="n">
        <f aca="false">INDEX(Sprint_Metrics!$F$7:$F$16,RANDBETWEEN(1,ROWS(Sprint_Metrics!$F$7:$F$16)))</f>
        <v>8</v>
      </c>
      <c r="D348" s="29" t="n">
        <f aca="false">INDEX(Sprint_Metrics!$F$7:$F$16,RANDBETWEEN(1,ROWS(Sprint_Metrics!$F$7:$F$16)))</f>
        <v>7</v>
      </c>
      <c r="E348" s="29" t="n">
        <f aca="false">INDEX(Sprint_Metrics!$F$7:$F$16,RANDBETWEEN(1,ROWS(Sprint_Metrics!$F$7:$F$16)))</f>
        <v>8</v>
      </c>
      <c r="F348" s="29" t="n">
        <f aca="false">INDEX(Sprint_Metrics!$F$7:$F$16,RANDBETWEEN(1,ROWS(Sprint_Metrics!$F$7:$F$16)))</f>
        <v>11</v>
      </c>
      <c r="G348" s="29" t="n">
        <f aca="false">INDEX(Sprint_Metrics!$F$7:$F$16,RANDBETWEEN(1,ROWS(Sprint_Metrics!$F$7:$F$16)))</f>
        <v>8</v>
      </c>
      <c r="H348" s="29" t="n">
        <f aca="false">INDEX(Sprint_Metrics!$F$7:$F$16,RANDBETWEEN(1,ROWS(Sprint_Metrics!$F$7:$F$16)))</f>
        <v>11</v>
      </c>
      <c r="I348" s="29" t="n">
        <f aca="false">INDEX(Sprint_Metrics!$F$7:$F$16,RANDBETWEEN(1,ROWS(Sprint_Metrics!$F$7:$F$16)))</f>
        <v>8</v>
      </c>
      <c r="J348" s="29" t="n">
        <f aca="false">B348</f>
        <v>11</v>
      </c>
      <c r="K348" s="29" t="n">
        <f aca="false">J348+C348</f>
        <v>19</v>
      </c>
      <c r="L348" s="29" t="n">
        <f aca="false">K348+D348</f>
        <v>26</v>
      </c>
      <c r="M348" s="29" t="n">
        <f aca="false">L348+E348</f>
        <v>34</v>
      </c>
      <c r="N348" s="29" t="n">
        <f aca="false">M348+F348</f>
        <v>45</v>
      </c>
      <c r="O348" s="29" t="n">
        <f aca="false">N348+G348</f>
        <v>53</v>
      </c>
      <c r="P348" s="29" t="n">
        <f aca="false">O348+H348</f>
        <v>64</v>
      </c>
      <c r="Q348" s="29" t="n">
        <f aca="false">P348+I348</f>
        <v>72</v>
      </c>
    </row>
    <row r="349" customFormat="false" ht="15" hidden="false" customHeight="false" outlineLevel="0" collapsed="false">
      <c r="A349" s="29" t="n">
        <v>348</v>
      </c>
      <c r="B349" s="29" t="n">
        <f aca="false">INDEX(Sprint_Metrics!$F$7:$F$16,RANDBETWEEN(1,ROWS(Sprint_Metrics!$F$7:$F$16)))</f>
        <v>12</v>
      </c>
      <c r="C349" s="29" t="n">
        <f aca="false">INDEX(Sprint_Metrics!$F$7:$F$16,RANDBETWEEN(1,ROWS(Sprint_Metrics!$F$7:$F$16)))</f>
        <v>7</v>
      </c>
      <c r="D349" s="29" t="n">
        <f aca="false">INDEX(Sprint_Metrics!$F$7:$F$16,RANDBETWEEN(1,ROWS(Sprint_Metrics!$F$7:$F$16)))</f>
        <v>9</v>
      </c>
      <c r="E349" s="29" t="n">
        <f aca="false">INDEX(Sprint_Metrics!$F$7:$F$16,RANDBETWEEN(1,ROWS(Sprint_Metrics!$F$7:$F$16)))</f>
        <v>8</v>
      </c>
      <c r="F349" s="29" t="n">
        <f aca="false">INDEX(Sprint_Metrics!$F$7:$F$16,RANDBETWEEN(1,ROWS(Sprint_Metrics!$F$7:$F$16)))</f>
        <v>8</v>
      </c>
      <c r="G349" s="29" t="n">
        <f aca="false">INDEX(Sprint_Metrics!$F$7:$F$16,RANDBETWEEN(1,ROWS(Sprint_Metrics!$F$7:$F$16)))</f>
        <v>12</v>
      </c>
      <c r="H349" s="29" t="n">
        <f aca="false">INDEX(Sprint_Metrics!$F$7:$F$16,RANDBETWEEN(1,ROWS(Sprint_Metrics!$F$7:$F$16)))</f>
        <v>8</v>
      </c>
      <c r="I349" s="29" t="n">
        <f aca="false">INDEX(Sprint_Metrics!$F$7:$F$16,RANDBETWEEN(1,ROWS(Sprint_Metrics!$F$7:$F$16)))</f>
        <v>9</v>
      </c>
      <c r="J349" s="29" t="n">
        <f aca="false">B349</f>
        <v>12</v>
      </c>
      <c r="K349" s="29" t="n">
        <f aca="false">J349+C349</f>
        <v>19</v>
      </c>
      <c r="L349" s="29" t="n">
        <f aca="false">K349+D349</f>
        <v>28</v>
      </c>
      <c r="M349" s="29" t="n">
        <f aca="false">L349+E349</f>
        <v>36</v>
      </c>
      <c r="N349" s="29" t="n">
        <f aca="false">M349+F349</f>
        <v>44</v>
      </c>
      <c r="O349" s="29" t="n">
        <f aca="false">N349+G349</f>
        <v>56</v>
      </c>
      <c r="P349" s="29" t="n">
        <f aca="false">O349+H349</f>
        <v>64</v>
      </c>
      <c r="Q349" s="29" t="n">
        <f aca="false">P349+I349</f>
        <v>73</v>
      </c>
    </row>
    <row r="350" customFormat="false" ht="15" hidden="false" customHeight="false" outlineLevel="0" collapsed="false">
      <c r="A350" s="29" t="n">
        <v>349</v>
      </c>
      <c r="B350" s="29" t="n">
        <f aca="false">INDEX(Sprint_Metrics!$F$7:$F$16,RANDBETWEEN(1,ROWS(Sprint_Metrics!$F$7:$F$16)))</f>
        <v>8</v>
      </c>
      <c r="C350" s="29" t="n">
        <f aca="false">INDEX(Sprint_Metrics!$F$7:$F$16,RANDBETWEEN(1,ROWS(Sprint_Metrics!$F$7:$F$16)))</f>
        <v>12</v>
      </c>
      <c r="D350" s="29" t="n">
        <f aca="false">INDEX(Sprint_Metrics!$F$7:$F$16,RANDBETWEEN(1,ROWS(Sprint_Metrics!$F$7:$F$16)))</f>
        <v>9</v>
      </c>
      <c r="E350" s="29" t="n">
        <f aca="false">INDEX(Sprint_Metrics!$F$7:$F$16,RANDBETWEEN(1,ROWS(Sprint_Metrics!$F$7:$F$16)))</f>
        <v>8</v>
      </c>
      <c r="F350" s="29" t="n">
        <f aca="false">INDEX(Sprint_Metrics!$F$7:$F$16,RANDBETWEEN(1,ROWS(Sprint_Metrics!$F$7:$F$16)))</f>
        <v>11</v>
      </c>
      <c r="G350" s="29" t="n">
        <f aca="false">INDEX(Sprint_Metrics!$F$7:$F$16,RANDBETWEEN(1,ROWS(Sprint_Metrics!$F$7:$F$16)))</f>
        <v>8</v>
      </c>
      <c r="H350" s="29" t="n">
        <f aca="false">INDEX(Sprint_Metrics!$F$7:$F$16,RANDBETWEEN(1,ROWS(Sprint_Metrics!$F$7:$F$16)))</f>
        <v>7</v>
      </c>
      <c r="I350" s="29" t="n">
        <f aca="false">INDEX(Sprint_Metrics!$F$7:$F$16,RANDBETWEEN(1,ROWS(Sprint_Metrics!$F$7:$F$16)))</f>
        <v>11</v>
      </c>
      <c r="J350" s="29" t="n">
        <f aca="false">B350</f>
        <v>8</v>
      </c>
      <c r="K350" s="29" t="n">
        <f aca="false">J350+C350</f>
        <v>20</v>
      </c>
      <c r="L350" s="29" t="n">
        <f aca="false">K350+D350</f>
        <v>29</v>
      </c>
      <c r="M350" s="29" t="n">
        <f aca="false">L350+E350</f>
        <v>37</v>
      </c>
      <c r="N350" s="29" t="n">
        <f aca="false">M350+F350</f>
        <v>48</v>
      </c>
      <c r="O350" s="29" t="n">
        <f aca="false">N350+G350</f>
        <v>56</v>
      </c>
      <c r="P350" s="29" t="n">
        <f aca="false">O350+H350</f>
        <v>63</v>
      </c>
      <c r="Q350" s="29" t="n">
        <f aca="false">P350+I350</f>
        <v>74</v>
      </c>
    </row>
    <row r="351" customFormat="false" ht="15" hidden="false" customHeight="false" outlineLevel="0" collapsed="false">
      <c r="A351" s="29" t="n">
        <v>350</v>
      </c>
      <c r="B351" s="29" t="n">
        <f aca="false">INDEX(Sprint_Metrics!$F$7:$F$16,RANDBETWEEN(1,ROWS(Sprint_Metrics!$F$7:$F$16)))</f>
        <v>9</v>
      </c>
      <c r="C351" s="29" t="n">
        <f aca="false">INDEX(Sprint_Metrics!$F$7:$F$16,RANDBETWEEN(1,ROWS(Sprint_Metrics!$F$7:$F$16)))</f>
        <v>12</v>
      </c>
      <c r="D351" s="29" t="n">
        <f aca="false">INDEX(Sprint_Metrics!$F$7:$F$16,RANDBETWEEN(1,ROWS(Sprint_Metrics!$F$7:$F$16)))</f>
        <v>9</v>
      </c>
      <c r="E351" s="29" t="n">
        <f aca="false">INDEX(Sprint_Metrics!$F$7:$F$16,RANDBETWEEN(1,ROWS(Sprint_Metrics!$F$7:$F$16)))</f>
        <v>12</v>
      </c>
      <c r="F351" s="29" t="n">
        <f aca="false">INDEX(Sprint_Metrics!$F$7:$F$16,RANDBETWEEN(1,ROWS(Sprint_Metrics!$F$7:$F$16)))</f>
        <v>11</v>
      </c>
      <c r="G351" s="29" t="n">
        <f aca="false">INDEX(Sprint_Metrics!$F$7:$F$16,RANDBETWEEN(1,ROWS(Sprint_Metrics!$F$7:$F$16)))</f>
        <v>11</v>
      </c>
      <c r="H351" s="29" t="n">
        <f aca="false">INDEX(Sprint_Metrics!$F$7:$F$16,RANDBETWEEN(1,ROWS(Sprint_Metrics!$F$7:$F$16)))</f>
        <v>7</v>
      </c>
      <c r="I351" s="29" t="n">
        <f aca="false">INDEX(Sprint_Metrics!$F$7:$F$16,RANDBETWEEN(1,ROWS(Sprint_Metrics!$F$7:$F$16)))</f>
        <v>11</v>
      </c>
      <c r="J351" s="29" t="n">
        <f aca="false">B351</f>
        <v>9</v>
      </c>
      <c r="K351" s="29" t="n">
        <f aca="false">J351+C351</f>
        <v>21</v>
      </c>
      <c r="L351" s="29" t="n">
        <f aca="false">K351+D351</f>
        <v>30</v>
      </c>
      <c r="M351" s="29" t="n">
        <f aca="false">L351+E351</f>
        <v>42</v>
      </c>
      <c r="N351" s="29" t="n">
        <f aca="false">M351+F351</f>
        <v>53</v>
      </c>
      <c r="O351" s="29" t="n">
        <f aca="false">N351+G351</f>
        <v>64</v>
      </c>
      <c r="P351" s="29" t="n">
        <f aca="false">O351+H351</f>
        <v>71</v>
      </c>
      <c r="Q351" s="29" t="n">
        <f aca="false">P351+I351</f>
        <v>82</v>
      </c>
    </row>
    <row r="352" customFormat="false" ht="15" hidden="false" customHeight="false" outlineLevel="0" collapsed="false">
      <c r="A352" s="29" t="n">
        <v>351</v>
      </c>
      <c r="B352" s="29" t="n">
        <f aca="false">INDEX(Sprint_Metrics!$F$7:$F$16,RANDBETWEEN(1,ROWS(Sprint_Metrics!$F$7:$F$16)))</f>
        <v>7</v>
      </c>
      <c r="C352" s="29" t="n">
        <f aca="false">INDEX(Sprint_Metrics!$F$7:$F$16,RANDBETWEEN(1,ROWS(Sprint_Metrics!$F$7:$F$16)))</f>
        <v>11</v>
      </c>
      <c r="D352" s="29" t="n">
        <f aca="false">INDEX(Sprint_Metrics!$F$7:$F$16,RANDBETWEEN(1,ROWS(Sprint_Metrics!$F$7:$F$16)))</f>
        <v>8</v>
      </c>
      <c r="E352" s="29" t="n">
        <f aca="false">INDEX(Sprint_Metrics!$F$7:$F$16,RANDBETWEEN(1,ROWS(Sprint_Metrics!$F$7:$F$16)))</f>
        <v>11</v>
      </c>
      <c r="F352" s="29" t="n">
        <f aca="false">INDEX(Sprint_Metrics!$F$7:$F$16,RANDBETWEEN(1,ROWS(Sprint_Metrics!$F$7:$F$16)))</f>
        <v>7</v>
      </c>
      <c r="G352" s="29" t="n">
        <f aca="false">INDEX(Sprint_Metrics!$F$7:$F$16,RANDBETWEEN(1,ROWS(Sprint_Metrics!$F$7:$F$16)))</f>
        <v>12</v>
      </c>
      <c r="H352" s="29" t="n">
        <f aca="false">INDEX(Sprint_Metrics!$F$7:$F$16,RANDBETWEEN(1,ROWS(Sprint_Metrics!$F$7:$F$16)))</f>
        <v>11</v>
      </c>
      <c r="I352" s="29" t="n">
        <f aca="false">INDEX(Sprint_Metrics!$F$7:$F$16,RANDBETWEEN(1,ROWS(Sprint_Metrics!$F$7:$F$16)))</f>
        <v>8</v>
      </c>
      <c r="J352" s="29" t="n">
        <f aca="false">B352</f>
        <v>7</v>
      </c>
      <c r="K352" s="29" t="n">
        <f aca="false">J352+C352</f>
        <v>18</v>
      </c>
      <c r="L352" s="29" t="n">
        <f aca="false">K352+D352</f>
        <v>26</v>
      </c>
      <c r="M352" s="29" t="n">
        <f aca="false">L352+E352</f>
        <v>37</v>
      </c>
      <c r="N352" s="29" t="n">
        <f aca="false">M352+F352</f>
        <v>44</v>
      </c>
      <c r="O352" s="29" t="n">
        <f aca="false">N352+G352</f>
        <v>56</v>
      </c>
      <c r="P352" s="29" t="n">
        <f aca="false">O352+H352</f>
        <v>67</v>
      </c>
      <c r="Q352" s="29" t="n">
        <f aca="false">P352+I352</f>
        <v>75</v>
      </c>
    </row>
    <row r="353" customFormat="false" ht="15" hidden="false" customHeight="false" outlineLevel="0" collapsed="false">
      <c r="A353" s="29" t="n">
        <v>352</v>
      </c>
      <c r="B353" s="29" t="n">
        <f aca="false">INDEX(Sprint_Metrics!$F$7:$F$16,RANDBETWEEN(1,ROWS(Sprint_Metrics!$F$7:$F$16)))</f>
        <v>9</v>
      </c>
      <c r="C353" s="29" t="n">
        <f aca="false">INDEX(Sprint_Metrics!$F$7:$F$16,RANDBETWEEN(1,ROWS(Sprint_Metrics!$F$7:$F$16)))</f>
        <v>9</v>
      </c>
      <c r="D353" s="29" t="n">
        <f aca="false">INDEX(Sprint_Metrics!$F$7:$F$16,RANDBETWEEN(1,ROWS(Sprint_Metrics!$F$7:$F$16)))</f>
        <v>11</v>
      </c>
      <c r="E353" s="29" t="n">
        <f aca="false">INDEX(Sprint_Metrics!$F$7:$F$16,RANDBETWEEN(1,ROWS(Sprint_Metrics!$F$7:$F$16)))</f>
        <v>8</v>
      </c>
      <c r="F353" s="29" t="n">
        <f aca="false">INDEX(Sprint_Metrics!$F$7:$F$16,RANDBETWEEN(1,ROWS(Sprint_Metrics!$F$7:$F$16)))</f>
        <v>12</v>
      </c>
      <c r="G353" s="29" t="n">
        <f aca="false">INDEX(Sprint_Metrics!$F$7:$F$16,RANDBETWEEN(1,ROWS(Sprint_Metrics!$F$7:$F$16)))</f>
        <v>11</v>
      </c>
      <c r="H353" s="29" t="n">
        <f aca="false">INDEX(Sprint_Metrics!$F$7:$F$16,RANDBETWEEN(1,ROWS(Sprint_Metrics!$F$7:$F$16)))</f>
        <v>7</v>
      </c>
      <c r="I353" s="29" t="n">
        <f aca="false">INDEX(Sprint_Metrics!$F$7:$F$16,RANDBETWEEN(1,ROWS(Sprint_Metrics!$F$7:$F$16)))</f>
        <v>7</v>
      </c>
      <c r="J353" s="29" t="n">
        <f aca="false">B353</f>
        <v>9</v>
      </c>
      <c r="K353" s="29" t="n">
        <f aca="false">J353+C353</f>
        <v>18</v>
      </c>
      <c r="L353" s="29" t="n">
        <f aca="false">K353+D353</f>
        <v>29</v>
      </c>
      <c r="M353" s="29" t="n">
        <f aca="false">L353+E353</f>
        <v>37</v>
      </c>
      <c r="N353" s="29" t="n">
        <f aca="false">M353+F353</f>
        <v>49</v>
      </c>
      <c r="O353" s="29" t="n">
        <f aca="false">N353+G353</f>
        <v>60</v>
      </c>
      <c r="P353" s="29" t="n">
        <f aca="false">O353+H353</f>
        <v>67</v>
      </c>
      <c r="Q353" s="29" t="n">
        <f aca="false">P353+I353</f>
        <v>74</v>
      </c>
    </row>
    <row r="354" customFormat="false" ht="15" hidden="false" customHeight="false" outlineLevel="0" collapsed="false">
      <c r="A354" s="29" t="n">
        <v>353</v>
      </c>
      <c r="B354" s="29" t="n">
        <f aca="false">INDEX(Sprint_Metrics!$F$7:$F$16,RANDBETWEEN(1,ROWS(Sprint_Metrics!$F$7:$F$16)))</f>
        <v>8</v>
      </c>
      <c r="C354" s="29" t="n">
        <f aca="false">INDEX(Sprint_Metrics!$F$7:$F$16,RANDBETWEEN(1,ROWS(Sprint_Metrics!$F$7:$F$16)))</f>
        <v>9</v>
      </c>
      <c r="D354" s="29" t="n">
        <f aca="false">INDEX(Sprint_Metrics!$F$7:$F$16,RANDBETWEEN(1,ROWS(Sprint_Metrics!$F$7:$F$16)))</f>
        <v>8</v>
      </c>
      <c r="E354" s="29" t="n">
        <f aca="false">INDEX(Sprint_Metrics!$F$7:$F$16,RANDBETWEEN(1,ROWS(Sprint_Metrics!$F$7:$F$16)))</f>
        <v>11</v>
      </c>
      <c r="F354" s="29" t="n">
        <f aca="false">INDEX(Sprint_Metrics!$F$7:$F$16,RANDBETWEEN(1,ROWS(Sprint_Metrics!$F$7:$F$16)))</f>
        <v>9</v>
      </c>
      <c r="G354" s="29" t="n">
        <f aca="false">INDEX(Sprint_Metrics!$F$7:$F$16,RANDBETWEEN(1,ROWS(Sprint_Metrics!$F$7:$F$16)))</f>
        <v>12</v>
      </c>
      <c r="H354" s="29" t="n">
        <f aca="false">INDEX(Sprint_Metrics!$F$7:$F$16,RANDBETWEEN(1,ROWS(Sprint_Metrics!$F$7:$F$16)))</f>
        <v>11</v>
      </c>
      <c r="I354" s="29" t="n">
        <f aca="false">INDEX(Sprint_Metrics!$F$7:$F$16,RANDBETWEEN(1,ROWS(Sprint_Metrics!$F$7:$F$16)))</f>
        <v>7</v>
      </c>
      <c r="J354" s="29" t="n">
        <f aca="false">B354</f>
        <v>8</v>
      </c>
      <c r="K354" s="29" t="n">
        <f aca="false">J354+C354</f>
        <v>17</v>
      </c>
      <c r="L354" s="29" t="n">
        <f aca="false">K354+D354</f>
        <v>25</v>
      </c>
      <c r="M354" s="29" t="n">
        <f aca="false">L354+E354</f>
        <v>36</v>
      </c>
      <c r="N354" s="29" t="n">
        <f aca="false">M354+F354</f>
        <v>45</v>
      </c>
      <c r="O354" s="29" t="n">
        <f aca="false">N354+G354</f>
        <v>57</v>
      </c>
      <c r="P354" s="29" t="n">
        <f aca="false">O354+H354</f>
        <v>68</v>
      </c>
      <c r="Q354" s="29" t="n">
        <f aca="false">P354+I354</f>
        <v>75</v>
      </c>
    </row>
    <row r="355" customFormat="false" ht="15" hidden="false" customHeight="false" outlineLevel="0" collapsed="false">
      <c r="A355" s="29" t="n">
        <v>354</v>
      </c>
      <c r="B355" s="29" t="n">
        <f aca="false">INDEX(Sprint_Metrics!$F$7:$F$16,RANDBETWEEN(1,ROWS(Sprint_Metrics!$F$7:$F$16)))</f>
        <v>9</v>
      </c>
      <c r="C355" s="29" t="n">
        <f aca="false">INDEX(Sprint_Metrics!$F$7:$F$16,RANDBETWEEN(1,ROWS(Sprint_Metrics!$F$7:$F$16)))</f>
        <v>12</v>
      </c>
      <c r="D355" s="29" t="n">
        <f aca="false">INDEX(Sprint_Metrics!$F$7:$F$16,RANDBETWEEN(1,ROWS(Sprint_Metrics!$F$7:$F$16)))</f>
        <v>11</v>
      </c>
      <c r="E355" s="29" t="n">
        <f aca="false">INDEX(Sprint_Metrics!$F$7:$F$16,RANDBETWEEN(1,ROWS(Sprint_Metrics!$F$7:$F$16)))</f>
        <v>8</v>
      </c>
      <c r="F355" s="29" t="n">
        <f aca="false">INDEX(Sprint_Metrics!$F$7:$F$16,RANDBETWEEN(1,ROWS(Sprint_Metrics!$F$7:$F$16)))</f>
        <v>11</v>
      </c>
      <c r="G355" s="29" t="n">
        <f aca="false">INDEX(Sprint_Metrics!$F$7:$F$16,RANDBETWEEN(1,ROWS(Sprint_Metrics!$F$7:$F$16)))</f>
        <v>7</v>
      </c>
      <c r="H355" s="29" t="n">
        <f aca="false">INDEX(Sprint_Metrics!$F$7:$F$16,RANDBETWEEN(1,ROWS(Sprint_Metrics!$F$7:$F$16)))</f>
        <v>8</v>
      </c>
      <c r="I355" s="29" t="n">
        <f aca="false">INDEX(Sprint_Metrics!$F$7:$F$16,RANDBETWEEN(1,ROWS(Sprint_Metrics!$F$7:$F$16)))</f>
        <v>11</v>
      </c>
      <c r="J355" s="29" t="n">
        <f aca="false">B355</f>
        <v>9</v>
      </c>
      <c r="K355" s="29" t="n">
        <f aca="false">J355+C355</f>
        <v>21</v>
      </c>
      <c r="L355" s="29" t="n">
        <f aca="false">K355+D355</f>
        <v>32</v>
      </c>
      <c r="M355" s="29" t="n">
        <f aca="false">L355+E355</f>
        <v>40</v>
      </c>
      <c r="N355" s="29" t="n">
        <f aca="false">M355+F355</f>
        <v>51</v>
      </c>
      <c r="O355" s="29" t="n">
        <f aca="false">N355+G355</f>
        <v>58</v>
      </c>
      <c r="P355" s="29" t="n">
        <f aca="false">O355+H355</f>
        <v>66</v>
      </c>
      <c r="Q355" s="29" t="n">
        <f aca="false">P355+I355</f>
        <v>77</v>
      </c>
    </row>
    <row r="356" customFormat="false" ht="15" hidden="false" customHeight="false" outlineLevel="0" collapsed="false">
      <c r="A356" s="29" t="n">
        <v>355</v>
      </c>
      <c r="B356" s="29" t="n">
        <f aca="false">INDEX(Sprint_Metrics!$F$7:$F$16,RANDBETWEEN(1,ROWS(Sprint_Metrics!$F$7:$F$16)))</f>
        <v>11</v>
      </c>
      <c r="C356" s="29" t="n">
        <f aca="false">INDEX(Sprint_Metrics!$F$7:$F$16,RANDBETWEEN(1,ROWS(Sprint_Metrics!$F$7:$F$16)))</f>
        <v>8</v>
      </c>
      <c r="D356" s="29" t="n">
        <f aca="false">INDEX(Sprint_Metrics!$F$7:$F$16,RANDBETWEEN(1,ROWS(Sprint_Metrics!$F$7:$F$16)))</f>
        <v>7</v>
      </c>
      <c r="E356" s="29" t="n">
        <f aca="false">INDEX(Sprint_Metrics!$F$7:$F$16,RANDBETWEEN(1,ROWS(Sprint_Metrics!$F$7:$F$16)))</f>
        <v>11</v>
      </c>
      <c r="F356" s="29" t="n">
        <f aca="false">INDEX(Sprint_Metrics!$F$7:$F$16,RANDBETWEEN(1,ROWS(Sprint_Metrics!$F$7:$F$16)))</f>
        <v>9</v>
      </c>
      <c r="G356" s="29" t="n">
        <f aca="false">INDEX(Sprint_Metrics!$F$7:$F$16,RANDBETWEEN(1,ROWS(Sprint_Metrics!$F$7:$F$16)))</f>
        <v>9</v>
      </c>
      <c r="H356" s="29" t="n">
        <f aca="false">INDEX(Sprint_Metrics!$F$7:$F$16,RANDBETWEEN(1,ROWS(Sprint_Metrics!$F$7:$F$16)))</f>
        <v>9</v>
      </c>
      <c r="I356" s="29" t="n">
        <f aca="false">INDEX(Sprint_Metrics!$F$7:$F$16,RANDBETWEEN(1,ROWS(Sprint_Metrics!$F$7:$F$16)))</f>
        <v>8</v>
      </c>
      <c r="J356" s="29" t="n">
        <f aca="false">B356</f>
        <v>11</v>
      </c>
      <c r="K356" s="29" t="n">
        <f aca="false">J356+C356</f>
        <v>19</v>
      </c>
      <c r="L356" s="29" t="n">
        <f aca="false">K356+D356</f>
        <v>26</v>
      </c>
      <c r="M356" s="29" t="n">
        <f aca="false">L356+E356</f>
        <v>37</v>
      </c>
      <c r="N356" s="29" t="n">
        <f aca="false">M356+F356</f>
        <v>46</v>
      </c>
      <c r="O356" s="29" t="n">
        <f aca="false">N356+G356</f>
        <v>55</v>
      </c>
      <c r="P356" s="29" t="n">
        <f aca="false">O356+H356</f>
        <v>64</v>
      </c>
      <c r="Q356" s="29" t="n">
        <f aca="false">P356+I356</f>
        <v>72</v>
      </c>
    </row>
    <row r="357" customFormat="false" ht="15" hidden="false" customHeight="false" outlineLevel="0" collapsed="false">
      <c r="A357" s="29" t="n">
        <v>356</v>
      </c>
      <c r="B357" s="29" t="n">
        <f aca="false">INDEX(Sprint_Metrics!$F$7:$F$16,RANDBETWEEN(1,ROWS(Sprint_Metrics!$F$7:$F$16)))</f>
        <v>9</v>
      </c>
      <c r="C357" s="29" t="n">
        <f aca="false">INDEX(Sprint_Metrics!$F$7:$F$16,RANDBETWEEN(1,ROWS(Sprint_Metrics!$F$7:$F$16)))</f>
        <v>7</v>
      </c>
      <c r="D357" s="29" t="n">
        <f aca="false">INDEX(Sprint_Metrics!$F$7:$F$16,RANDBETWEEN(1,ROWS(Sprint_Metrics!$F$7:$F$16)))</f>
        <v>11</v>
      </c>
      <c r="E357" s="29" t="n">
        <f aca="false">INDEX(Sprint_Metrics!$F$7:$F$16,RANDBETWEEN(1,ROWS(Sprint_Metrics!$F$7:$F$16)))</f>
        <v>9</v>
      </c>
      <c r="F357" s="29" t="n">
        <f aca="false">INDEX(Sprint_Metrics!$F$7:$F$16,RANDBETWEEN(1,ROWS(Sprint_Metrics!$F$7:$F$16)))</f>
        <v>7</v>
      </c>
      <c r="G357" s="29" t="n">
        <f aca="false">INDEX(Sprint_Metrics!$F$7:$F$16,RANDBETWEEN(1,ROWS(Sprint_Metrics!$F$7:$F$16)))</f>
        <v>8</v>
      </c>
      <c r="H357" s="29" t="n">
        <f aca="false">INDEX(Sprint_Metrics!$F$7:$F$16,RANDBETWEEN(1,ROWS(Sprint_Metrics!$F$7:$F$16)))</f>
        <v>7</v>
      </c>
      <c r="I357" s="29" t="n">
        <f aca="false">INDEX(Sprint_Metrics!$F$7:$F$16,RANDBETWEEN(1,ROWS(Sprint_Metrics!$F$7:$F$16)))</f>
        <v>7</v>
      </c>
      <c r="J357" s="29" t="n">
        <f aca="false">B357</f>
        <v>9</v>
      </c>
      <c r="K357" s="29" t="n">
        <f aca="false">J357+C357</f>
        <v>16</v>
      </c>
      <c r="L357" s="29" t="n">
        <f aca="false">K357+D357</f>
        <v>27</v>
      </c>
      <c r="M357" s="29" t="n">
        <f aca="false">L357+E357</f>
        <v>36</v>
      </c>
      <c r="N357" s="29" t="n">
        <f aca="false">M357+F357</f>
        <v>43</v>
      </c>
      <c r="O357" s="29" t="n">
        <f aca="false">N357+G357</f>
        <v>51</v>
      </c>
      <c r="P357" s="29" t="n">
        <f aca="false">O357+H357</f>
        <v>58</v>
      </c>
      <c r="Q357" s="29" t="n">
        <f aca="false">P357+I357</f>
        <v>65</v>
      </c>
    </row>
    <row r="358" customFormat="false" ht="15" hidden="false" customHeight="false" outlineLevel="0" collapsed="false">
      <c r="A358" s="29" t="n">
        <v>357</v>
      </c>
      <c r="B358" s="29" t="n">
        <f aca="false">INDEX(Sprint_Metrics!$F$7:$F$16,RANDBETWEEN(1,ROWS(Sprint_Metrics!$F$7:$F$16)))</f>
        <v>8</v>
      </c>
      <c r="C358" s="29" t="n">
        <f aca="false">INDEX(Sprint_Metrics!$F$7:$F$16,RANDBETWEEN(1,ROWS(Sprint_Metrics!$F$7:$F$16)))</f>
        <v>11</v>
      </c>
      <c r="D358" s="29" t="n">
        <f aca="false">INDEX(Sprint_Metrics!$F$7:$F$16,RANDBETWEEN(1,ROWS(Sprint_Metrics!$F$7:$F$16)))</f>
        <v>8</v>
      </c>
      <c r="E358" s="29" t="n">
        <f aca="false">INDEX(Sprint_Metrics!$F$7:$F$16,RANDBETWEEN(1,ROWS(Sprint_Metrics!$F$7:$F$16)))</f>
        <v>7</v>
      </c>
      <c r="F358" s="29" t="n">
        <f aca="false">INDEX(Sprint_Metrics!$F$7:$F$16,RANDBETWEEN(1,ROWS(Sprint_Metrics!$F$7:$F$16)))</f>
        <v>8</v>
      </c>
      <c r="G358" s="29" t="n">
        <f aca="false">INDEX(Sprint_Metrics!$F$7:$F$16,RANDBETWEEN(1,ROWS(Sprint_Metrics!$F$7:$F$16)))</f>
        <v>8</v>
      </c>
      <c r="H358" s="29" t="n">
        <f aca="false">INDEX(Sprint_Metrics!$F$7:$F$16,RANDBETWEEN(1,ROWS(Sprint_Metrics!$F$7:$F$16)))</f>
        <v>11</v>
      </c>
      <c r="I358" s="29" t="n">
        <f aca="false">INDEX(Sprint_Metrics!$F$7:$F$16,RANDBETWEEN(1,ROWS(Sprint_Metrics!$F$7:$F$16)))</f>
        <v>9</v>
      </c>
      <c r="J358" s="29" t="n">
        <f aca="false">B358</f>
        <v>8</v>
      </c>
      <c r="K358" s="29" t="n">
        <f aca="false">J358+C358</f>
        <v>19</v>
      </c>
      <c r="L358" s="29" t="n">
        <f aca="false">K358+D358</f>
        <v>27</v>
      </c>
      <c r="M358" s="29" t="n">
        <f aca="false">L358+E358</f>
        <v>34</v>
      </c>
      <c r="N358" s="29" t="n">
        <f aca="false">M358+F358</f>
        <v>42</v>
      </c>
      <c r="O358" s="29" t="n">
        <f aca="false">N358+G358</f>
        <v>50</v>
      </c>
      <c r="P358" s="29" t="n">
        <f aca="false">O358+H358</f>
        <v>61</v>
      </c>
      <c r="Q358" s="29" t="n">
        <f aca="false">P358+I358</f>
        <v>70</v>
      </c>
    </row>
    <row r="359" customFormat="false" ht="15" hidden="false" customHeight="false" outlineLevel="0" collapsed="false">
      <c r="A359" s="29" t="n">
        <v>358</v>
      </c>
      <c r="B359" s="29" t="n">
        <f aca="false">INDEX(Sprint_Metrics!$F$7:$F$16,RANDBETWEEN(1,ROWS(Sprint_Metrics!$F$7:$F$16)))</f>
        <v>12</v>
      </c>
      <c r="C359" s="29" t="n">
        <f aca="false">INDEX(Sprint_Metrics!$F$7:$F$16,RANDBETWEEN(1,ROWS(Sprint_Metrics!$F$7:$F$16)))</f>
        <v>8</v>
      </c>
      <c r="D359" s="29" t="n">
        <f aca="false">INDEX(Sprint_Metrics!$F$7:$F$16,RANDBETWEEN(1,ROWS(Sprint_Metrics!$F$7:$F$16)))</f>
        <v>8</v>
      </c>
      <c r="E359" s="29" t="n">
        <f aca="false">INDEX(Sprint_Metrics!$F$7:$F$16,RANDBETWEEN(1,ROWS(Sprint_Metrics!$F$7:$F$16)))</f>
        <v>12</v>
      </c>
      <c r="F359" s="29" t="n">
        <f aca="false">INDEX(Sprint_Metrics!$F$7:$F$16,RANDBETWEEN(1,ROWS(Sprint_Metrics!$F$7:$F$16)))</f>
        <v>8</v>
      </c>
      <c r="G359" s="29" t="n">
        <f aca="false">INDEX(Sprint_Metrics!$F$7:$F$16,RANDBETWEEN(1,ROWS(Sprint_Metrics!$F$7:$F$16)))</f>
        <v>12</v>
      </c>
      <c r="H359" s="29" t="n">
        <f aca="false">INDEX(Sprint_Metrics!$F$7:$F$16,RANDBETWEEN(1,ROWS(Sprint_Metrics!$F$7:$F$16)))</f>
        <v>9</v>
      </c>
      <c r="I359" s="29" t="n">
        <f aca="false">INDEX(Sprint_Metrics!$F$7:$F$16,RANDBETWEEN(1,ROWS(Sprint_Metrics!$F$7:$F$16)))</f>
        <v>8</v>
      </c>
      <c r="J359" s="29" t="n">
        <f aca="false">B359</f>
        <v>12</v>
      </c>
      <c r="K359" s="29" t="n">
        <f aca="false">J359+C359</f>
        <v>20</v>
      </c>
      <c r="L359" s="29" t="n">
        <f aca="false">K359+D359</f>
        <v>28</v>
      </c>
      <c r="M359" s="29" t="n">
        <f aca="false">L359+E359</f>
        <v>40</v>
      </c>
      <c r="N359" s="29" t="n">
        <f aca="false">M359+F359</f>
        <v>48</v>
      </c>
      <c r="O359" s="29" t="n">
        <f aca="false">N359+G359</f>
        <v>60</v>
      </c>
      <c r="P359" s="29" t="n">
        <f aca="false">O359+H359</f>
        <v>69</v>
      </c>
      <c r="Q359" s="29" t="n">
        <f aca="false">P359+I359</f>
        <v>77</v>
      </c>
    </row>
    <row r="360" customFormat="false" ht="15" hidden="false" customHeight="false" outlineLevel="0" collapsed="false">
      <c r="A360" s="29" t="n">
        <v>359</v>
      </c>
      <c r="B360" s="29" t="n">
        <f aca="false">INDEX(Sprint_Metrics!$F$7:$F$16,RANDBETWEEN(1,ROWS(Sprint_Metrics!$F$7:$F$16)))</f>
        <v>8</v>
      </c>
      <c r="C360" s="29" t="n">
        <f aca="false">INDEX(Sprint_Metrics!$F$7:$F$16,RANDBETWEEN(1,ROWS(Sprint_Metrics!$F$7:$F$16)))</f>
        <v>12</v>
      </c>
      <c r="D360" s="29" t="n">
        <f aca="false">INDEX(Sprint_Metrics!$F$7:$F$16,RANDBETWEEN(1,ROWS(Sprint_Metrics!$F$7:$F$16)))</f>
        <v>12</v>
      </c>
      <c r="E360" s="29" t="n">
        <f aca="false">INDEX(Sprint_Metrics!$F$7:$F$16,RANDBETWEEN(1,ROWS(Sprint_Metrics!$F$7:$F$16)))</f>
        <v>12</v>
      </c>
      <c r="F360" s="29" t="n">
        <f aca="false">INDEX(Sprint_Metrics!$F$7:$F$16,RANDBETWEEN(1,ROWS(Sprint_Metrics!$F$7:$F$16)))</f>
        <v>8</v>
      </c>
      <c r="G360" s="29" t="n">
        <f aca="false">INDEX(Sprint_Metrics!$F$7:$F$16,RANDBETWEEN(1,ROWS(Sprint_Metrics!$F$7:$F$16)))</f>
        <v>7</v>
      </c>
      <c r="H360" s="29" t="n">
        <f aca="false">INDEX(Sprint_Metrics!$F$7:$F$16,RANDBETWEEN(1,ROWS(Sprint_Metrics!$F$7:$F$16)))</f>
        <v>11</v>
      </c>
      <c r="I360" s="29" t="n">
        <f aca="false">INDEX(Sprint_Metrics!$F$7:$F$16,RANDBETWEEN(1,ROWS(Sprint_Metrics!$F$7:$F$16)))</f>
        <v>8</v>
      </c>
      <c r="J360" s="29" t="n">
        <f aca="false">B360</f>
        <v>8</v>
      </c>
      <c r="K360" s="29" t="n">
        <f aca="false">J360+C360</f>
        <v>20</v>
      </c>
      <c r="L360" s="29" t="n">
        <f aca="false">K360+D360</f>
        <v>32</v>
      </c>
      <c r="M360" s="29" t="n">
        <f aca="false">L360+E360</f>
        <v>44</v>
      </c>
      <c r="N360" s="29" t="n">
        <f aca="false">M360+F360</f>
        <v>52</v>
      </c>
      <c r="O360" s="29" t="n">
        <f aca="false">N360+G360</f>
        <v>59</v>
      </c>
      <c r="P360" s="29" t="n">
        <f aca="false">O360+H360</f>
        <v>70</v>
      </c>
      <c r="Q360" s="29" t="n">
        <f aca="false">P360+I360</f>
        <v>78</v>
      </c>
    </row>
    <row r="361" customFormat="false" ht="15" hidden="false" customHeight="false" outlineLevel="0" collapsed="false">
      <c r="A361" s="29" t="n">
        <v>360</v>
      </c>
      <c r="B361" s="29" t="n">
        <f aca="false">INDEX(Sprint_Metrics!$F$7:$F$16,RANDBETWEEN(1,ROWS(Sprint_Metrics!$F$7:$F$16)))</f>
        <v>12</v>
      </c>
      <c r="C361" s="29" t="n">
        <f aca="false">INDEX(Sprint_Metrics!$F$7:$F$16,RANDBETWEEN(1,ROWS(Sprint_Metrics!$F$7:$F$16)))</f>
        <v>9</v>
      </c>
      <c r="D361" s="29" t="n">
        <f aca="false">INDEX(Sprint_Metrics!$F$7:$F$16,RANDBETWEEN(1,ROWS(Sprint_Metrics!$F$7:$F$16)))</f>
        <v>9</v>
      </c>
      <c r="E361" s="29" t="n">
        <f aca="false">INDEX(Sprint_Metrics!$F$7:$F$16,RANDBETWEEN(1,ROWS(Sprint_Metrics!$F$7:$F$16)))</f>
        <v>11</v>
      </c>
      <c r="F361" s="29" t="n">
        <f aca="false">INDEX(Sprint_Metrics!$F$7:$F$16,RANDBETWEEN(1,ROWS(Sprint_Metrics!$F$7:$F$16)))</f>
        <v>8</v>
      </c>
      <c r="G361" s="29" t="n">
        <f aca="false">INDEX(Sprint_Metrics!$F$7:$F$16,RANDBETWEEN(1,ROWS(Sprint_Metrics!$F$7:$F$16)))</f>
        <v>8</v>
      </c>
      <c r="H361" s="29" t="n">
        <f aca="false">INDEX(Sprint_Metrics!$F$7:$F$16,RANDBETWEEN(1,ROWS(Sprint_Metrics!$F$7:$F$16)))</f>
        <v>9</v>
      </c>
      <c r="I361" s="29" t="n">
        <f aca="false">INDEX(Sprint_Metrics!$F$7:$F$16,RANDBETWEEN(1,ROWS(Sprint_Metrics!$F$7:$F$16)))</f>
        <v>12</v>
      </c>
      <c r="J361" s="29" t="n">
        <f aca="false">B361</f>
        <v>12</v>
      </c>
      <c r="K361" s="29" t="n">
        <f aca="false">J361+C361</f>
        <v>21</v>
      </c>
      <c r="L361" s="29" t="n">
        <f aca="false">K361+D361</f>
        <v>30</v>
      </c>
      <c r="M361" s="29" t="n">
        <f aca="false">L361+E361</f>
        <v>41</v>
      </c>
      <c r="N361" s="29" t="n">
        <f aca="false">M361+F361</f>
        <v>49</v>
      </c>
      <c r="O361" s="29" t="n">
        <f aca="false">N361+G361</f>
        <v>57</v>
      </c>
      <c r="P361" s="29" t="n">
        <f aca="false">O361+H361</f>
        <v>66</v>
      </c>
      <c r="Q361" s="29" t="n">
        <f aca="false">P361+I361</f>
        <v>78</v>
      </c>
    </row>
    <row r="362" customFormat="false" ht="15" hidden="false" customHeight="false" outlineLevel="0" collapsed="false">
      <c r="A362" s="29" t="n">
        <v>361</v>
      </c>
      <c r="B362" s="29" t="n">
        <f aca="false">INDEX(Sprint_Metrics!$F$7:$F$16,RANDBETWEEN(1,ROWS(Sprint_Metrics!$F$7:$F$16)))</f>
        <v>11</v>
      </c>
      <c r="C362" s="29" t="n">
        <f aca="false">INDEX(Sprint_Metrics!$F$7:$F$16,RANDBETWEEN(1,ROWS(Sprint_Metrics!$F$7:$F$16)))</f>
        <v>11</v>
      </c>
      <c r="D362" s="29" t="n">
        <f aca="false">INDEX(Sprint_Metrics!$F$7:$F$16,RANDBETWEEN(1,ROWS(Sprint_Metrics!$F$7:$F$16)))</f>
        <v>7</v>
      </c>
      <c r="E362" s="29" t="n">
        <f aca="false">INDEX(Sprint_Metrics!$F$7:$F$16,RANDBETWEEN(1,ROWS(Sprint_Metrics!$F$7:$F$16)))</f>
        <v>7</v>
      </c>
      <c r="F362" s="29" t="n">
        <f aca="false">INDEX(Sprint_Metrics!$F$7:$F$16,RANDBETWEEN(1,ROWS(Sprint_Metrics!$F$7:$F$16)))</f>
        <v>9</v>
      </c>
      <c r="G362" s="29" t="n">
        <f aca="false">INDEX(Sprint_Metrics!$F$7:$F$16,RANDBETWEEN(1,ROWS(Sprint_Metrics!$F$7:$F$16)))</f>
        <v>11</v>
      </c>
      <c r="H362" s="29" t="n">
        <f aca="false">INDEX(Sprint_Metrics!$F$7:$F$16,RANDBETWEEN(1,ROWS(Sprint_Metrics!$F$7:$F$16)))</f>
        <v>8</v>
      </c>
      <c r="I362" s="29" t="n">
        <f aca="false">INDEX(Sprint_Metrics!$F$7:$F$16,RANDBETWEEN(1,ROWS(Sprint_Metrics!$F$7:$F$16)))</f>
        <v>8</v>
      </c>
      <c r="J362" s="29" t="n">
        <f aca="false">B362</f>
        <v>11</v>
      </c>
      <c r="K362" s="29" t="n">
        <f aca="false">J362+C362</f>
        <v>22</v>
      </c>
      <c r="L362" s="29" t="n">
        <f aca="false">K362+D362</f>
        <v>29</v>
      </c>
      <c r="M362" s="29" t="n">
        <f aca="false">L362+E362</f>
        <v>36</v>
      </c>
      <c r="N362" s="29" t="n">
        <f aca="false">M362+F362</f>
        <v>45</v>
      </c>
      <c r="O362" s="29" t="n">
        <f aca="false">N362+G362</f>
        <v>56</v>
      </c>
      <c r="P362" s="29" t="n">
        <f aca="false">O362+H362</f>
        <v>64</v>
      </c>
      <c r="Q362" s="29" t="n">
        <f aca="false">P362+I362</f>
        <v>72</v>
      </c>
    </row>
    <row r="363" customFormat="false" ht="15" hidden="false" customHeight="false" outlineLevel="0" collapsed="false">
      <c r="A363" s="29" t="n">
        <v>362</v>
      </c>
      <c r="B363" s="29" t="n">
        <f aca="false">INDEX(Sprint_Metrics!$F$7:$F$16,RANDBETWEEN(1,ROWS(Sprint_Metrics!$F$7:$F$16)))</f>
        <v>7</v>
      </c>
      <c r="C363" s="29" t="n">
        <f aca="false">INDEX(Sprint_Metrics!$F$7:$F$16,RANDBETWEEN(1,ROWS(Sprint_Metrics!$F$7:$F$16)))</f>
        <v>9</v>
      </c>
      <c r="D363" s="29" t="n">
        <f aca="false">INDEX(Sprint_Metrics!$F$7:$F$16,RANDBETWEEN(1,ROWS(Sprint_Metrics!$F$7:$F$16)))</f>
        <v>7</v>
      </c>
      <c r="E363" s="29" t="n">
        <f aca="false">INDEX(Sprint_Metrics!$F$7:$F$16,RANDBETWEEN(1,ROWS(Sprint_Metrics!$F$7:$F$16)))</f>
        <v>8</v>
      </c>
      <c r="F363" s="29" t="n">
        <f aca="false">INDEX(Sprint_Metrics!$F$7:$F$16,RANDBETWEEN(1,ROWS(Sprint_Metrics!$F$7:$F$16)))</f>
        <v>11</v>
      </c>
      <c r="G363" s="29" t="n">
        <f aca="false">INDEX(Sprint_Metrics!$F$7:$F$16,RANDBETWEEN(1,ROWS(Sprint_Metrics!$F$7:$F$16)))</f>
        <v>8</v>
      </c>
      <c r="H363" s="29" t="n">
        <f aca="false">INDEX(Sprint_Metrics!$F$7:$F$16,RANDBETWEEN(1,ROWS(Sprint_Metrics!$F$7:$F$16)))</f>
        <v>11</v>
      </c>
      <c r="I363" s="29" t="n">
        <f aca="false">INDEX(Sprint_Metrics!$F$7:$F$16,RANDBETWEEN(1,ROWS(Sprint_Metrics!$F$7:$F$16)))</f>
        <v>11</v>
      </c>
      <c r="J363" s="29" t="n">
        <f aca="false">B363</f>
        <v>7</v>
      </c>
      <c r="K363" s="29" t="n">
        <f aca="false">J363+C363</f>
        <v>16</v>
      </c>
      <c r="L363" s="29" t="n">
        <f aca="false">K363+D363</f>
        <v>23</v>
      </c>
      <c r="M363" s="29" t="n">
        <f aca="false">L363+E363</f>
        <v>31</v>
      </c>
      <c r="N363" s="29" t="n">
        <f aca="false">M363+F363</f>
        <v>42</v>
      </c>
      <c r="O363" s="29" t="n">
        <f aca="false">N363+G363</f>
        <v>50</v>
      </c>
      <c r="P363" s="29" t="n">
        <f aca="false">O363+H363</f>
        <v>61</v>
      </c>
      <c r="Q363" s="29" t="n">
        <f aca="false">P363+I363</f>
        <v>72</v>
      </c>
    </row>
    <row r="364" customFormat="false" ht="15" hidden="false" customHeight="false" outlineLevel="0" collapsed="false">
      <c r="A364" s="29" t="n">
        <v>363</v>
      </c>
      <c r="B364" s="29" t="n">
        <f aca="false">INDEX(Sprint_Metrics!$F$7:$F$16,RANDBETWEEN(1,ROWS(Sprint_Metrics!$F$7:$F$16)))</f>
        <v>7</v>
      </c>
      <c r="C364" s="29" t="n">
        <f aca="false">INDEX(Sprint_Metrics!$F$7:$F$16,RANDBETWEEN(1,ROWS(Sprint_Metrics!$F$7:$F$16)))</f>
        <v>9</v>
      </c>
      <c r="D364" s="29" t="n">
        <f aca="false">INDEX(Sprint_Metrics!$F$7:$F$16,RANDBETWEEN(1,ROWS(Sprint_Metrics!$F$7:$F$16)))</f>
        <v>9</v>
      </c>
      <c r="E364" s="29" t="n">
        <f aca="false">INDEX(Sprint_Metrics!$F$7:$F$16,RANDBETWEEN(1,ROWS(Sprint_Metrics!$F$7:$F$16)))</f>
        <v>7</v>
      </c>
      <c r="F364" s="29" t="n">
        <f aca="false">INDEX(Sprint_Metrics!$F$7:$F$16,RANDBETWEEN(1,ROWS(Sprint_Metrics!$F$7:$F$16)))</f>
        <v>7</v>
      </c>
      <c r="G364" s="29" t="n">
        <f aca="false">INDEX(Sprint_Metrics!$F$7:$F$16,RANDBETWEEN(1,ROWS(Sprint_Metrics!$F$7:$F$16)))</f>
        <v>8</v>
      </c>
      <c r="H364" s="29" t="n">
        <f aca="false">INDEX(Sprint_Metrics!$F$7:$F$16,RANDBETWEEN(1,ROWS(Sprint_Metrics!$F$7:$F$16)))</f>
        <v>11</v>
      </c>
      <c r="I364" s="29" t="n">
        <f aca="false">INDEX(Sprint_Metrics!$F$7:$F$16,RANDBETWEEN(1,ROWS(Sprint_Metrics!$F$7:$F$16)))</f>
        <v>8</v>
      </c>
      <c r="J364" s="29" t="n">
        <f aca="false">B364</f>
        <v>7</v>
      </c>
      <c r="K364" s="29" t="n">
        <f aca="false">J364+C364</f>
        <v>16</v>
      </c>
      <c r="L364" s="29" t="n">
        <f aca="false">K364+D364</f>
        <v>25</v>
      </c>
      <c r="M364" s="29" t="n">
        <f aca="false">L364+E364</f>
        <v>32</v>
      </c>
      <c r="N364" s="29" t="n">
        <f aca="false">M364+F364</f>
        <v>39</v>
      </c>
      <c r="O364" s="29" t="n">
        <f aca="false">N364+G364</f>
        <v>47</v>
      </c>
      <c r="P364" s="29" t="n">
        <f aca="false">O364+H364</f>
        <v>58</v>
      </c>
      <c r="Q364" s="29" t="n">
        <f aca="false">P364+I364</f>
        <v>66</v>
      </c>
    </row>
    <row r="365" customFormat="false" ht="15" hidden="false" customHeight="false" outlineLevel="0" collapsed="false">
      <c r="A365" s="29" t="n">
        <v>364</v>
      </c>
      <c r="B365" s="29" t="n">
        <f aca="false">INDEX(Sprint_Metrics!$F$7:$F$16,RANDBETWEEN(1,ROWS(Sprint_Metrics!$F$7:$F$16)))</f>
        <v>11</v>
      </c>
      <c r="C365" s="29" t="n">
        <f aca="false">INDEX(Sprint_Metrics!$F$7:$F$16,RANDBETWEEN(1,ROWS(Sprint_Metrics!$F$7:$F$16)))</f>
        <v>8</v>
      </c>
      <c r="D365" s="29" t="n">
        <f aca="false">INDEX(Sprint_Metrics!$F$7:$F$16,RANDBETWEEN(1,ROWS(Sprint_Metrics!$F$7:$F$16)))</f>
        <v>9</v>
      </c>
      <c r="E365" s="29" t="n">
        <f aca="false">INDEX(Sprint_Metrics!$F$7:$F$16,RANDBETWEEN(1,ROWS(Sprint_Metrics!$F$7:$F$16)))</f>
        <v>7</v>
      </c>
      <c r="F365" s="29" t="n">
        <f aca="false">INDEX(Sprint_Metrics!$F$7:$F$16,RANDBETWEEN(1,ROWS(Sprint_Metrics!$F$7:$F$16)))</f>
        <v>11</v>
      </c>
      <c r="G365" s="29" t="n">
        <f aca="false">INDEX(Sprint_Metrics!$F$7:$F$16,RANDBETWEEN(1,ROWS(Sprint_Metrics!$F$7:$F$16)))</f>
        <v>8</v>
      </c>
      <c r="H365" s="29" t="n">
        <f aca="false">INDEX(Sprint_Metrics!$F$7:$F$16,RANDBETWEEN(1,ROWS(Sprint_Metrics!$F$7:$F$16)))</f>
        <v>11</v>
      </c>
      <c r="I365" s="29" t="n">
        <f aca="false">INDEX(Sprint_Metrics!$F$7:$F$16,RANDBETWEEN(1,ROWS(Sprint_Metrics!$F$7:$F$16)))</f>
        <v>8</v>
      </c>
      <c r="J365" s="29" t="n">
        <f aca="false">B365</f>
        <v>11</v>
      </c>
      <c r="K365" s="29" t="n">
        <f aca="false">J365+C365</f>
        <v>19</v>
      </c>
      <c r="L365" s="29" t="n">
        <f aca="false">K365+D365</f>
        <v>28</v>
      </c>
      <c r="M365" s="29" t="n">
        <f aca="false">L365+E365</f>
        <v>35</v>
      </c>
      <c r="N365" s="29" t="n">
        <f aca="false">M365+F365</f>
        <v>46</v>
      </c>
      <c r="O365" s="29" t="n">
        <f aca="false">N365+G365</f>
        <v>54</v>
      </c>
      <c r="P365" s="29" t="n">
        <f aca="false">O365+H365</f>
        <v>65</v>
      </c>
      <c r="Q365" s="29" t="n">
        <f aca="false">P365+I365</f>
        <v>73</v>
      </c>
    </row>
    <row r="366" customFormat="false" ht="15" hidden="false" customHeight="false" outlineLevel="0" collapsed="false">
      <c r="A366" s="29" t="n">
        <v>365</v>
      </c>
      <c r="B366" s="29" t="n">
        <f aca="false">INDEX(Sprint_Metrics!$F$7:$F$16,RANDBETWEEN(1,ROWS(Sprint_Metrics!$F$7:$F$16)))</f>
        <v>8</v>
      </c>
      <c r="C366" s="29" t="n">
        <f aca="false">INDEX(Sprint_Metrics!$F$7:$F$16,RANDBETWEEN(1,ROWS(Sprint_Metrics!$F$7:$F$16)))</f>
        <v>9</v>
      </c>
      <c r="D366" s="29" t="n">
        <f aca="false">INDEX(Sprint_Metrics!$F$7:$F$16,RANDBETWEEN(1,ROWS(Sprint_Metrics!$F$7:$F$16)))</f>
        <v>8</v>
      </c>
      <c r="E366" s="29" t="n">
        <f aca="false">INDEX(Sprint_Metrics!$F$7:$F$16,RANDBETWEEN(1,ROWS(Sprint_Metrics!$F$7:$F$16)))</f>
        <v>12</v>
      </c>
      <c r="F366" s="29" t="n">
        <f aca="false">INDEX(Sprint_Metrics!$F$7:$F$16,RANDBETWEEN(1,ROWS(Sprint_Metrics!$F$7:$F$16)))</f>
        <v>12</v>
      </c>
      <c r="G366" s="29" t="n">
        <f aca="false">INDEX(Sprint_Metrics!$F$7:$F$16,RANDBETWEEN(1,ROWS(Sprint_Metrics!$F$7:$F$16)))</f>
        <v>7</v>
      </c>
      <c r="H366" s="29" t="n">
        <f aca="false">INDEX(Sprint_Metrics!$F$7:$F$16,RANDBETWEEN(1,ROWS(Sprint_Metrics!$F$7:$F$16)))</f>
        <v>12</v>
      </c>
      <c r="I366" s="29" t="n">
        <f aca="false">INDEX(Sprint_Metrics!$F$7:$F$16,RANDBETWEEN(1,ROWS(Sprint_Metrics!$F$7:$F$16)))</f>
        <v>11</v>
      </c>
      <c r="J366" s="29" t="n">
        <f aca="false">B366</f>
        <v>8</v>
      </c>
      <c r="K366" s="29" t="n">
        <f aca="false">J366+C366</f>
        <v>17</v>
      </c>
      <c r="L366" s="29" t="n">
        <f aca="false">K366+D366</f>
        <v>25</v>
      </c>
      <c r="M366" s="29" t="n">
        <f aca="false">L366+E366</f>
        <v>37</v>
      </c>
      <c r="N366" s="29" t="n">
        <f aca="false">M366+F366</f>
        <v>49</v>
      </c>
      <c r="O366" s="29" t="n">
        <f aca="false">N366+G366</f>
        <v>56</v>
      </c>
      <c r="P366" s="29" t="n">
        <f aca="false">O366+H366</f>
        <v>68</v>
      </c>
      <c r="Q366" s="29" t="n">
        <f aca="false">P366+I366</f>
        <v>79</v>
      </c>
    </row>
    <row r="367" customFormat="false" ht="15" hidden="false" customHeight="false" outlineLevel="0" collapsed="false">
      <c r="A367" s="29" t="n">
        <v>366</v>
      </c>
      <c r="B367" s="29" t="n">
        <f aca="false">INDEX(Sprint_Metrics!$F$7:$F$16,RANDBETWEEN(1,ROWS(Sprint_Metrics!$F$7:$F$16)))</f>
        <v>8</v>
      </c>
      <c r="C367" s="29" t="n">
        <f aca="false">INDEX(Sprint_Metrics!$F$7:$F$16,RANDBETWEEN(1,ROWS(Sprint_Metrics!$F$7:$F$16)))</f>
        <v>8</v>
      </c>
      <c r="D367" s="29" t="n">
        <f aca="false">INDEX(Sprint_Metrics!$F$7:$F$16,RANDBETWEEN(1,ROWS(Sprint_Metrics!$F$7:$F$16)))</f>
        <v>11</v>
      </c>
      <c r="E367" s="29" t="n">
        <f aca="false">INDEX(Sprint_Metrics!$F$7:$F$16,RANDBETWEEN(1,ROWS(Sprint_Metrics!$F$7:$F$16)))</f>
        <v>8</v>
      </c>
      <c r="F367" s="29" t="n">
        <f aca="false">INDEX(Sprint_Metrics!$F$7:$F$16,RANDBETWEEN(1,ROWS(Sprint_Metrics!$F$7:$F$16)))</f>
        <v>7</v>
      </c>
      <c r="G367" s="29" t="n">
        <f aca="false">INDEX(Sprint_Metrics!$F$7:$F$16,RANDBETWEEN(1,ROWS(Sprint_Metrics!$F$7:$F$16)))</f>
        <v>9</v>
      </c>
      <c r="H367" s="29" t="n">
        <f aca="false">INDEX(Sprint_Metrics!$F$7:$F$16,RANDBETWEEN(1,ROWS(Sprint_Metrics!$F$7:$F$16)))</f>
        <v>11</v>
      </c>
      <c r="I367" s="29" t="n">
        <f aca="false">INDEX(Sprint_Metrics!$F$7:$F$16,RANDBETWEEN(1,ROWS(Sprint_Metrics!$F$7:$F$16)))</f>
        <v>9</v>
      </c>
      <c r="J367" s="29" t="n">
        <f aca="false">B367</f>
        <v>8</v>
      </c>
      <c r="K367" s="29" t="n">
        <f aca="false">J367+C367</f>
        <v>16</v>
      </c>
      <c r="L367" s="29" t="n">
        <f aca="false">K367+D367</f>
        <v>27</v>
      </c>
      <c r="M367" s="29" t="n">
        <f aca="false">L367+E367</f>
        <v>35</v>
      </c>
      <c r="N367" s="29" t="n">
        <f aca="false">M367+F367</f>
        <v>42</v>
      </c>
      <c r="O367" s="29" t="n">
        <f aca="false">N367+G367</f>
        <v>51</v>
      </c>
      <c r="P367" s="29" t="n">
        <f aca="false">O367+H367</f>
        <v>62</v>
      </c>
      <c r="Q367" s="29" t="n">
        <f aca="false">P367+I367</f>
        <v>71</v>
      </c>
    </row>
    <row r="368" customFormat="false" ht="15" hidden="false" customHeight="false" outlineLevel="0" collapsed="false">
      <c r="A368" s="29" t="n">
        <v>367</v>
      </c>
      <c r="B368" s="29" t="n">
        <f aca="false">INDEX(Sprint_Metrics!$F$7:$F$16,RANDBETWEEN(1,ROWS(Sprint_Metrics!$F$7:$F$16)))</f>
        <v>11</v>
      </c>
      <c r="C368" s="29" t="n">
        <f aca="false">INDEX(Sprint_Metrics!$F$7:$F$16,RANDBETWEEN(1,ROWS(Sprint_Metrics!$F$7:$F$16)))</f>
        <v>8</v>
      </c>
      <c r="D368" s="29" t="n">
        <f aca="false">INDEX(Sprint_Metrics!$F$7:$F$16,RANDBETWEEN(1,ROWS(Sprint_Metrics!$F$7:$F$16)))</f>
        <v>8</v>
      </c>
      <c r="E368" s="29" t="n">
        <f aca="false">INDEX(Sprint_Metrics!$F$7:$F$16,RANDBETWEEN(1,ROWS(Sprint_Metrics!$F$7:$F$16)))</f>
        <v>8</v>
      </c>
      <c r="F368" s="29" t="n">
        <f aca="false">INDEX(Sprint_Metrics!$F$7:$F$16,RANDBETWEEN(1,ROWS(Sprint_Metrics!$F$7:$F$16)))</f>
        <v>7</v>
      </c>
      <c r="G368" s="29" t="n">
        <f aca="false">INDEX(Sprint_Metrics!$F$7:$F$16,RANDBETWEEN(1,ROWS(Sprint_Metrics!$F$7:$F$16)))</f>
        <v>11</v>
      </c>
      <c r="H368" s="29" t="n">
        <f aca="false">INDEX(Sprint_Metrics!$F$7:$F$16,RANDBETWEEN(1,ROWS(Sprint_Metrics!$F$7:$F$16)))</f>
        <v>8</v>
      </c>
      <c r="I368" s="29" t="n">
        <f aca="false">INDEX(Sprint_Metrics!$F$7:$F$16,RANDBETWEEN(1,ROWS(Sprint_Metrics!$F$7:$F$16)))</f>
        <v>8</v>
      </c>
      <c r="J368" s="29" t="n">
        <f aca="false">B368</f>
        <v>11</v>
      </c>
      <c r="K368" s="29" t="n">
        <f aca="false">J368+C368</f>
        <v>19</v>
      </c>
      <c r="L368" s="29" t="n">
        <f aca="false">K368+D368</f>
        <v>27</v>
      </c>
      <c r="M368" s="29" t="n">
        <f aca="false">L368+E368</f>
        <v>35</v>
      </c>
      <c r="N368" s="29" t="n">
        <f aca="false">M368+F368</f>
        <v>42</v>
      </c>
      <c r="O368" s="29" t="n">
        <f aca="false">N368+G368</f>
        <v>53</v>
      </c>
      <c r="P368" s="29" t="n">
        <f aca="false">O368+H368</f>
        <v>61</v>
      </c>
      <c r="Q368" s="29" t="n">
        <f aca="false">P368+I368</f>
        <v>69</v>
      </c>
    </row>
    <row r="369" customFormat="false" ht="15" hidden="false" customHeight="false" outlineLevel="0" collapsed="false">
      <c r="A369" s="29" t="n">
        <v>368</v>
      </c>
      <c r="B369" s="29" t="n">
        <f aca="false">INDEX(Sprint_Metrics!$F$7:$F$16,RANDBETWEEN(1,ROWS(Sprint_Metrics!$F$7:$F$16)))</f>
        <v>8</v>
      </c>
      <c r="C369" s="29" t="n">
        <f aca="false">INDEX(Sprint_Metrics!$F$7:$F$16,RANDBETWEEN(1,ROWS(Sprint_Metrics!$F$7:$F$16)))</f>
        <v>7</v>
      </c>
      <c r="D369" s="29" t="n">
        <f aca="false">INDEX(Sprint_Metrics!$F$7:$F$16,RANDBETWEEN(1,ROWS(Sprint_Metrics!$F$7:$F$16)))</f>
        <v>11</v>
      </c>
      <c r="E369" s="29" t="n">
        <f aca="false">INDEX(Sprint_Metrics!$F$7:$F$16,RANDBETWEEN(1,ROWS(Sprint_Metrics!$F$7:$F$16)))</f>
        <v>7</v>
      </c>
      <c r="F369" s="29" t="n">
        <f aca="false">INDEX(Sprint_Metrics!$F$7:$F$16,RANDBETWEEN(1,ROWS(Sprint_Metrics!$F$7:$F$16)))</f>
        <v>11</v>
      </c>
      <c r="G369" s="29" t="n">
        <f aca="false">INDEX(Sprint_Metrics!$F$7:$F$16,RANDBETWEEN(1,ROWS(Sprint_Metrics!$F$7:$F$16)))</f>
        <v>8</v>
      </c>
      <c r="H369" s="29" t="n">
        <f aca="false">INDEX(Sprint_Metrics!$F$7:$F$16,RANDBETWEEN(1,ROWS(Sprint_Metrics!$F$7:$F$16)))</f>
        <v>7</v>
      </c>
      <c r="I369" s="29" t="n">
        <f aca="false">INDEX(Sprint_Metrics!$F$7:$F$16,RANDBETWEEN(1,ROWS(Sprint_Metrics!$F$7:$F$16)))</f>
        <v>8</v>
      </c>
      <c r="J369" s="29" t="n">
        <f aca="false">B369</f>
        <v>8</v>
      </c>
      <c r="K369" s="29" t="n">
        <f aca="false">J369+C369</f>
        <v>15</v>
      </c>
      <c r="L369" s="29" t="n">
        <f aca="false">K369+D369</f>
        <v>26</v>
      </c>
      <c r="M369" s="29" t="n">
        <f aca="false">L369+E369</f>
        <v>33</v>
      </c>
      <c r="N369" s="29" t="n">
        <f aca="false">M369+F369</f>
        <v>44</v>
      </c>
      <c r="O369" s="29" t="n">
        <f aca="false">N369+G369</f>
        <v>52</v>
      </c>
      <c r="P369" s="29" t="n">
        <f aca="false">O369+H369</f>
        <v>59</v>
      </c>
      <c r="Q369" s="29" t="n">
        <f aca="false">P369+I369</f>
        <v>67</v>
      </c>
    </row>
    <row r="370" customFormat="false" ht="15" hidden="false" customHeight="false" outlineLevel="0" collapsed="false">
      <c r="A370" s="29" t="n">
        <v>369</v>
      </c>
      <c r="B370" s="29" t="n">
        <f aca="false">INDEX(Sprint_Metrics!$F$7:$F$16,RANDBETWEEN(1,ROWS(Sprint_Metrics!$F$7:$F$16)))</f>
        <v>8</v>
      </c>
      <c r="C370" s="29" t="n">
        <f aca="false">INDEX(Sprint_Metrics!$F$7:$F$16,RANDBETWEEN(1,ROWS(Sprint_Metrics!$F$7:$F$16)))</f>
        <v>9</v>
      </c>
      <c r="D370" s="29" t="n">
        <f aca="false">INDEX(Sprint_Metrics!$F$7:$F$16,RANDBETWEEN(1,ROWS(Sprint_Metrics!$F$7:$F$16)))</f>
        <v>7</v>
      </c>
      <c r="E370" s="29" t="n">
        <f aca="false">INDEX(Sprint_Metrics!$F$7:$F$16,RANDBETWEEN(1,ROWS(Sprint_Metrics!$F$7:$F$16)))</f>
        <v>7</v>
      </c>
      <c r="F370" s="29" t="n">
        <f aca="false">INDEX(Sprint_Metrics!$F$7:$F$16,RANDBETWEEN(1,ROWS(Sprint_Metrics!$F$7:$F$16)))</f>
        <v>8</v>
      </c>
      <c r="G370" s="29" t="n">
        <f aca="false">INDEX(Sprint_Metrics!$F$7:$F$16,RANDBETWEEN(1,ROWS(Sprint_Metrics!$F$7:$F$16)))</f>
        <v>7</v>
      </c>
      <c r="H370" s="29" t="n">
        <f aca="false">INDEX(Sprint_Metrics!$F$7:$F$16,RANDBETWEEN(1,ROWS(Sprint_Metrics!$F$7:$F$16)))</f>
        <v>12</v>
      </c>
      <c r="I370" s="29" t="n">
        <f aca="false">INDEX(Sprint_Metrics!$F$7:$F$16,RANDBETWEEN(1,ROWS(Sprint_Metrics!$F$7:$F$16)))</f>
        <v>11</v>
      </c>
      <c r="J370" s="29" t="n">
        <f aca="false">B370</f>
        <v>8</v>
      </c>
      <c r="K370" s="29" t="n">
        <f aca="false">J370+C370</f>
        <v>17</v>
      </c>
      <c r="L370" s="29" t="n">
        <f aca="false">K370+D370</f>
        <v>24</v>
      </c>
      <c r="M370" s="29" t="n">
        <f aca="false">L370+E370</f>
        <v>31</v>
      </c>
      <c r="N370" s="29" t="n">
        <f aca="false">M370+F370</f>
        <v>39</v>
      </c>
      <c r="O370" s="29" t="n">
        <f aca="false">N370+G370</f>
        <v>46</v>
      </c>
      <c r="P370" s="29" t="n">
        <f aca="false">O370+H370</f>
        <v>58</v>
      </c>
      <c r="Q370" s="29" t="n">
        <f aca="false">P370+I370</f>
        <v>69</v>
      </c>
    </row>
    <row r="371" customFormat="false" ht="15" hidden="false" customHeight="false" outlineLevel="0" collapsed="false">
      <c r="A371" s="29" t="n">
        <v>370</v>
      </c>
      <c r="B371" s="29" t="n">
        <f aca="false">INDEX(Sprint_Metrics!$F$7:$F$16,RANDBETWEEN(1,ROWS(Sprint_Metrics!$F$7:$F$16)))</f>
        <v>8</v>
      </c>
      <c r="C371" s="29" t="n">
        <f aca="false">INDEX(Sprint_Metrics!$F$7:$F$16,RANDBETWEEN(1,ROWS(Sprint_Metrics!$F$7:$F$16)))</f>
        <v>11</v>
      </c>
      <c r="D371" s="29" t="n">
        <f aca="false">INDEX(Sprint_Metrics!$F$7:$F$16,RANDBETWEEN(1,ROWS(Sprint_Metrics!$F$7:$F$16)))</f>
        <v>8</v>
      </c>
      <c r="E371" s="29" t="n">
        <f aca="false">INDEX(Sprint_Metrics!$F$7:$F$16,RANDBETWEEN(1,ROWS(Sprint_Metrics!$F$7:$F$16)))</f>
        <v>7</v>
      </c>
      <c r="F371" s="29" t="n">
        <f aca="false">INDEX(Sprint_Metrics!$F$7:$F$16,RANDBETWEEN(1,ROWS(Sprint_Metrics!$F$7:$F$16)))</f>
        <v>9</v>
      </c>
      <c r="G371" s="29" t="n">
        <f aca="false">INDEX(Sprint_Metrics!$F$7:$F$16,RANDBETWEEN(1,ROWS(Sprint_Metrics!$F$7:$F$16)))</f>
        <v>11</v>
      </c>
      <c r="H371" s="29" t="n">
        <f aca="false">INDEX(Sprint_Metrics!$F$7:$F$16,RANDBETWEEN(1,ROWS(Sprint_Metrics!$F$7:$F$16)))</f>
        <v>9</v>
      </c>
      <c r="I371" s="29" t="n">
        <f aca="false">INDEX(Sprint_Metrics!$F$7:$F$16,RANDBETWEEN(1,ROWS(Sprint_Metrics!$F$7:$F$16)))</f>
        <v>8</v>
      </c>
      <c r="J371" s="29" t="n">
        <f aca="false">B371</f>
        <v>8</v>
      </c>
      <c r="K371" s="29" t="n">
        <f aca="false">J371+C371</f>
        <v>19</v>
      </c>
      <c r="L371" s="29" t="n">
        <f aca="false">K371+D371</f>
        <v>27</v>
      </c>
      <c r="M371" s="29" t="n">
        <f aca="false">L371+E371</f>
        <v>34</v>
      </c>
      <c r="N371" s="29" t="n">
        <f aca="false">M371+F371</f>
        <v>43</v>
      </c>
      <c r="O371" s="29" t="n">
        <f aca="false">N371+G371</f>
        <v>54</v>
      </c>
      <c r="P371" s="29" t="n">
        <f aca="false">O371+H371</f>
        <v>63</v>
      </c>
      <c r="Q371" s="29" t="n">
        <f aca="false">P371+I371</f>
        <v>71</v>
      </c>
    </row>
    <row r="372" customFormat="false" ht="15" hidden="false" customHeight="false" outlineLevel="0" collapsed="false">
      <c r="A372" s="29" t="n">
        <v>371</v>
      </c>
      <c r="B372" s="29" t="n">
        <f aca="false">INDEX(Sprint_Metrics!$F$7:$F$16,RANDBETWEEN(1,ROWS(Sprint_Metrics!$F$7:$F$16)))</f>
        <v>12</v>
      </c>
      <c r="C372" s="29" t="n">
        <f aca="false">INDEX(Sprint_Metrics!$F$7:$F$16,RANDBETWEEN(1,ROWS(Sprint_Metrics!$F$7:$F$16)))</f>
        <v>8</v>
      </c>
      <c r="D372" s="29" t="n">
        <f aca="false">INDEX(Sprint_Metrics!$F$7:$F$16,RANDBETWEEN(1,ROWS(Sprint_Metrics!$F$7:$F$16)))</f>
        <v>7</v>
      </c>
      <c r="E372" s="29" t="n">
        <f aca="false">INDEX(Sprint_Metrics!$F$7:$F$16,RANDBETWEEN(1,ROWS(Sprint_Metrics!$F$7:$F$16)))</f>
        <v>11</v>
      </c>
      <c r="F372" s="29" t="n">
        <f aca="false">INDEX(Sprint_Metrics!$F$7:$F$16,RANDBETWEEN(1,ROWS(Sprint_Metrics!$F$7:$F$16)))</f>
        <v>8</v>
      </c>
      <c r="G372" s="29" t="n">
        <f aca="false">INDEX(Sprint_Metrics!$F$7:$F$16,RANDBETWEEN(1,ROWS(Sprint_Metrics!$F$7:$F$16)))</f>
        <v>8</v>
      </c>
      <c r="H372" s="29" t="n">
        <f aca="false">INDEX(Sprint_Metrics!$F$7:$F$16,RANDBETWEEN(1,ROWS(Sprint_Metrics!$F$7:$F$16)))</f>
        <v>8</v>
      </c>
      <c r="I372" s="29" t="n">
        <f aca="false">INDEX(Sprint_Metrics!$F$7:$F$16,RANDBETWEEN(1,ROWS(Sprint_Metrics!$F$7:$F$16)))</f>
        <v>8</v>
      </c>
      <c r="J372" s="29" t="n">
        <f aca="false">B372</f>
        <v>12</v>
      </c>
      <c r="K372" s="29" t="n">
        <f aca="false">J372+C372</f>
        <v>20</v>
      </c>
      <c r="L372" s="29" t="n">
        <f aca="false">K372+D372</f>
        <v>27</v>
      </c>
      <c r="M372" s="29" t="n">
        <f aca="false">L372+E372</f>
        <v>38</v>
      </c>
      <c r="N372" s="29" t="n">
        <f aca="false">M372+F372</f>
        <v>46</v>
      </c>
      <c r="O372" s="29" t="n">
        <f aca="false">N372+G372</f>
        <v>54</v>
      </c>
      <c r="P372" s="29" t="n">
        <f aca="false">O372+H372</f>
        <v>62</v>
      </c>
      <c r="Q372" s="29" t="n">
        <f aca="false">P372+I372</f>
        <v>70</v>
      </c>
    </row>
    <row r="373" customFormat="false" ht="15" hidden="false" customHeight="false" outlineLevel="0" collapsed="false">
      <c r="A373" s="29" t="n">
        <v>372</v>
      </c>
      <c r="B373" s="29" t="n">
        <f aca="false">INDEX(Sprint_Metrics!$F$7:$F$16,RANDBETWEEN(1,ROWS(Sprint_Metrics!$F$7:$F$16)))</f>
        <v>8</v>
      </c>
      <c r="C373" s="29" t="n">
        <f aca="false">INDEX(Sprint_Metrics!$F$7:$F$16,RANDBETWEEN(1,ROWS(Sprint_Metrics!$F$7:$F$16)))</f>
        <v>9</v>
      </c>
      <c r="D373" s="29" t="n">
        <f aca="false">INDEX(Sprint_Metrics!$F$7:$F$16,RANDBETWEEN(1,ROWS(Sprint_Metrics!$F$7:$F$16)))</f>
        <v>11</v>
      </c>
      <c r="E373" s="29" t="n">
        <f aca="false">INDEX(Sprint_Metrics!$F$7:$F$16,RANDBETWEEN(1,ROWS(Sprint_Metrics!$F$7:$F$16)))</f>
        <v>11</v>
      </c>
      <c r="F373" s="29" t="n">
        <f aca="false">INDEX(Sprint_Metrics!$F$7:$F$16,RANDBETWEEN(1,ROWS(Sprint_Metrics!$F$7:$F$16)))</f>
        <v>12</v>
      </c>
      <c r="G373" s="29" t="n">
        <f aca="false">INDEX(Sprint_Metrics!$F$7:$F$16,RANDBETWEEN(1,ROWS(Sprint_Metrics!$F$7:$F$16)))</f>
        <v>7</v>
      </c>
      <c r="H373" s="29" t="n">
        <f aca="false">INDEX(Sprint_Metrics!$F$7:$F$16,RANDBETWEEN(1,ROWS(Sprint_Metrics!$F$7:$F$16)))</f>
        <v>7</v>
      </c>
      <c r="I373" s="29" t="n">
        <f aca="false">INDEX(Sprint_Metrics!$F$7:$F$16,RANDBETWEEN(1,ROWS(Sprint_Metrics!$F$7:$F$16)))</f>
        <v>12</v>
      </c>
      <c r="J373" s="29" t="n">
        <f aca="false">B373</f>
        <v>8</v>
      </c>
      <c r="K373" s="29" t="n">
        <f aca="false">J373+C373</f>
        <v>17</v>
      </c>
      <c r="L373" s="29" t="n">
        <f aca="false">K373+D373</f>
        <v>28</v>
      </c>
      <c r="M373" s="29" t="n">
        <f aca="false">L373+E373</f>
        <v>39</v>
      </c>
      <c r="N373" s="29" t="n">
        <f aca="false">M373+F373</f>
        <v>51</v>
      </c>
      <c r="O373" s="29" t="n">
        <f aca="false">N373+G373</f>
        <v>58</v>
      </c>
      <c r="P373" s="29" t="n">
        <f aca="false">O373+H373</f>
        <v>65</v>
      </c>
      <c r="Q373" s="29" t="n">
        <f aca="false">P373+I373</f>
        <v>77</v>
      </c>
    </row>
    <row r="374" customFormat="false" ht="15" hidden="false" customHeight="false" outlineLevel="0" collapsed="false">
      <c r="A374" s="29" t="n">
        <v>373</v>
      </c>
      <c r="B374" s="29" t="n">
        <f aca="false">INDEX(Sprint_Metrics!$F$7:$F$16,RANDBETWEEN(1,ROWS(Sprint_Metrics!$F$7:$F$16)))</f>
        <v>12</v>
      </c>
      <c r="C374" s="29" t="n">
        <f aca="false">INDEX(Sprint_Metrics!$F$7:$F$16,RANDBETWEEN(1,ROWS(Sprint_Metrics!$F$7:$F$16)))</f>
        <v>7</v>
      </c>
      <c r="D374" s="29" t="n">
        <f aca="false">INDEX(Sprint_Metrics!$F$7:$F$16,RANDBETWEEN(1,ROWS(Sprint_Metrics!$F$7:$F$16)))</f>
        <v>9</v>
      </c>
      <c r="E374" s="29" t="n">
        <f aca="false">INDEX(Sprint_Metrics!$F$7:$F$16,RANDBETWEEN(1,ROWS(Sprint_Metrics!$F$7:$F$16)))</f>
        <v>12</v>
      </c>
      <c r="F374" s="29" t="n">
        <f aca="false">INDEX(Sprint_Metrics!$F$7:$F$16,RANDBETWEEN(1,ROWS(Sprint_Metrics!$F$7:$F$16)))</f>
        <v>7</v>
      </c>
      <c r="G374" s="29" t="n">
        <f aca="false">INDEX(Sprint_Metrics!$F$7:$F$16,RANDBETWEEN(1,ROWS(Sprint_Metrics!$F$7:$F$16)))</f>
        <v>8</v>
      </c>
      <c r="H374" s="29" t="n">
        <f aca="false">INDEX(Sprint_Metrics!$F$7:$F$16,RANDBETWEEN(1,ROWS(Sprint_Metrics!$F$7:$F$16)))</f>
        <v>9</v>
      </c>
      <c r="I374" s="29" t="n">
        <f aca="false">INDEX(Sprint_Metrics!$F$7:$F$16,RANDBETWEEN(1,ROWS(Sprint_Metrics!$F$7:$F$16)))</f>
        <v>7</v>
      </c>
      <c r="J374" s="29" t="n">
        <f aca="false">B374</f>
        <v>12</v>
      </c>
      <c r="K374" s="29" t="n">
        <f aca="false">J374+C374</f>
        <v>19</v>
      </c>
      <c r="L374" s="29" t="n">
        <f aca="false">K374+D374</f>
        <v>28</v>
      </c>
      <c r="M374" s="29" t="n">
        <f aca="false">L374+E374</f>
        <v>40</v>
      </c>
      <c r="N374" s="29" t="n">
        <f aca="false">M374+F374</f>
        <v>47</v>
      </c>
      <c r="O374" s="29" t="n">
        <f aca="false">N374+G374</f>
        <v>55</v>
      </c>
      <c r="P374" s="29" t="n">
        <f aca="false">O374+H374</f>
        <v>64</v>
      </c>
      <c r="Q374" s="29" t="n">
        <f aca="false">P374+I374</f>
        <v>71</v>
      </c>
    </row>
    <row r="375" customFormat="false" ht="15" hidden="false" customHeight="false" outlineLevel="0" collapsed="false">
      <c r="A375" s="29" t="n">
        <v>374</v>
      </c>
      <c r="B375" s="29" t="n">
        <f aca="false">INDEX(Sprint_Metrics!$F$7:$F$16,RANDBETWEEN(1,ROWS(Sprint_Metrics!$F$7:$F$16)))</f>
        <v>11</v>
      </c>
      <c r="C375" s="29" t="n">
        <f aca="false">INDEX(Sprint_Metrics!$F$7:$F$16,RANDBETWEEN(1,ROWS(Sprint_Metrics!$F$7:$F$16)))</f>
        <v>11</v>
      </c>
      <c r="D375" s="29" t="n">
        <f aca="false">INDEX(Sprint_Metrics!$F$7:$F$16,RANDBETWEEN(1,ROWS(Sprint_Metrics!$F$7:$F$16)))</f>
        <v>9</v>
      </c>
      <c r="E375" s="29" t="n">
        <f aca="false">INDEX(Sprint_Metrics!$F$7:$F$16,RANDBETWEEN(1,ROWS(Sprint_Metrics!$F$7:$F$16)))</f>
        <v>9</v>
      </c>
      <c r="F375" s="29" t="n">
        <f aca="false">INDEX(Sprint_Metrics!$F$7:$F$16,RANDBETWEEN(1,ROWS(Sprint_Metrics!$F$7:$F$16)))</f>
        <v>9</v>
      </c>
      <c r="G375" s="29" t="n">
        <f aca="false">INDEX(Sprint_Metrics!$F$7:$F$16,RANDBETWEEN(1,ROWS(Sprint_Metrics!$F$7:$F$16)))</f>
        <v>7</v>
      </c>
      <c r="H375" s="29" t="n">
        <f aca="false">INDEX(Sprint_Metrics!$F$7:$F$16,RANDBETWEEN(1,ROWS(Sprint_Metrics!$F$7:$F$16)))</f>
        <v>11</v>
      </c>
      <c r="I375" s="29" t="n">
        <f aca="false">INDEX(Sprint_Metrics!$F$7:$F$16,RANDBETWEEN(1,ROWS(Sprint_Metrics!$F$7:$F$16)))</f>
        <v>9</v>
      </c>
      <c r="J375" s="29" t="n">
        <f aca="false">B375</f>
        <v>11</v>
      </c>
      <c r="K375" s="29" t="n">
        <f aca="false">J375+C375</f>
        <v>22</v>
      </c>
      <c r="L375" s="29" t="n">
        <f aca="false">K375+D375</f>
        <v>31</v>
      </c>
      <c r="M375" s="29" t="n">
        <f aca="false">L375+E375</f>
        <v>40</v>
      </c>
      <c r="N375" s="29" t="n">
        <f aca="false">M375+F375</f>
        <v>49</v>
      </c>
      <c r="O375" s="29" t="n">
        <f aca="false">N375+G375</f>
        <v>56</v>
      </c>
      <c r="P375" s="29" t="n">
        <f aca="false">O375+H375</f>
        <v>67</v>
      </c>
      <c r="Q375" s="29" t="n">
        <f aca="false">P375+I375</f>
        <v>76</v>
      </c>
    </row>
    <row r="376" customFormat="false" ht="15" hidden="false" customHeight="false" outlineLevel="0" collapsed="false">
      <c r="A376" s="29" t="n">
        <v>375</v>
      </c>
      <c r="B376" s="29" t="n">
        <f aca="false">INDEX(Sprint_Metrics!$F$7:$F$16,RANDBETWEEN(1,ROWS(Sprint_Metrics!$F$7:$F$16)))</f>
        <v>8</v>
      </c>
      <c r="C376" s="29" t="n">
        <f aca="false">INDEX(Sprint_Metrics!$F$7:$F$16,RANDBETWEEN(1,ROWS(Sprint_Metrics!$F$7:$F$16)))</f>
        <v>9</v>
      </c>
      <c r="D376" s="29" t="n">
        <f aca="false">INDEX(Sprint_Metrics!$F$7:$F$16,RANDBETWEEN(1,ROWS(Sprint_Metrics!$F$7:$F$16)))</f>
        <v>8</v>
      </c>
      <c r="E376" s="29" t="n">
        <f aca="false">INDEX(Sprint_Metrics!$F$7:$F$16,RANDBETWEEN(1,ROWS(Sprint_Metrics!$F$7:$F$16)))</f>
        <v>11</v>
      </c>
      <c r="F376" s="29" t="n">
        <f aca="false">INDEX(Sprint_Metrics!$F$7:$F$16,RANDBETWEEN(1,ROWS(Sprint_Metrics!$F$7:$F$16)))</f>
        <v>11</v>
      </c>
      <c r="G376" s="29" t="n">
        <f aca="false">INDEX(Sprint_Metrics!$F$7:$F$16,RANDBETWEEN(1,ROWS(Sprint_Metrics!$F$7:$F$16)))</f>
        <v>7</v>
      </c>
      <c r="H376" s="29" t="n">
        <f aca="false">INDEX(Sprint_Metrics!$F$7:$F$16,RANDBETWEEN(1,ROWS(Sprint_Metrics!$F$7:$F$16)))</f>
        <v>7</v>
      </c>
      <c r="I376" s="29" t="n">
        <f aca="false">INDEX(Sprint_Metrics!$F$7:$F$16,RANDBETWEEN(1,ROWS(Sprint_Metrics!$F$7:$F$16)))</f>
        <v>12</v>
      </c>
      <c r="J376" s="29" t="n">
        <f aca="false">B376</f>
        <v>8</v>
      </c>
      <c r="K376" s="29" t="n">
        <f aca="false">J376+C376</f>
        <v>17</v>
      </c>
      <c r="L376" s="29" t="n">
        <f aca="false">K376+D376</f>
        <v>25</v>
      </c>
      <c r="M376" s="29" t="n">
        <f aca="false">L376+E376</f>
        <v>36</v>
      </c>
      <c r="N376" s="29" t="n">
        <f aca="false">M376+F376</f>
        <v>47</v>
      </c>
      <c r="O376" s="29" t="n">
        <f aca="false">N376+G376</f>
        <v>54</v>
      </c>
      <c r="P376" s="29" t="n">
        <f aca="false">O376+H376</f>
        <v>61</v>
      </c>
      <c r="Q376" s="29" t="n">
        <f aca="false">P376+I376</f>
        <v>73</v>
      </c>
    </row>
    <row r="377" customFormat="false" ht="15" hidden="false" customHeight="false" outlineLevel="0" collapsed="false">
      <c r="A377" s="29" t="n">
        <v>376</v>
      </c>
      <c r="B377" s="29" t="n">
        <f aca="false">INDEX(Sprint_Metrics!$F$7:$F$16,RANDBETWEEN(1,ROWS(Sprint_Metrics!$F$7:$F$16)))</f>
        <v>9</v>
      </c>
      <c r="C377" s="29" t="n">
        <f aca="false">INDEX(Sprint_Metrics!$F$7:$F$16,RANDBETWEEN(1,ROWS(Sprint_Metrics!$F$7:$F$16)))</f>
        <v>12</v>
      </c>
      <c r="D377" s="29" t="n">
        <f aca="false">INDEX(Sprint_Metrics!$F$7:$F$16,RANDBETWEEN(1,ROWS(Sprint_Metrics!$F$7:$F$16)))</f>
        <v>9</v>
      </c>
      <c r="E377" s="29" t="n">
        <f aca="false">INDEX(Sprint_Metrics!$F$7:$F$16,RANDBETWEEN(1,ROWS(Sprint_Metrics!$F$7:$F$16)))</f>
        <v>8</v>
      </c>
      <c r="F377" s="29" t="n">
        <f aca="false">INDEX(Sprint_Metrics!$F$7:$F$16,RANDBETWEEN(1,ROWS(Sprint_Metrics!$F$7:$F$16)))</f>
        <v>12</v>
      </c>
      <c r="G377" s="29" t="n">
        <f aca="false">INDEX(Sprint_Metrics!$F$7:$F$16,RANDBETWEEN(1,ROWS(Sprint_Metrics!$F$7:$F$16)))</f>
        <v>8</v>
      </c>
      <c r="H377" s="29" t="n">
        <f aca="false">INDEX(Sprint_Metrics!$F$7:$F$16,RANDBETWEEN(1,ROWS(Sprint_Metrics!$F$7:$F$16)))</f>
        <v>12</v>
      </c>
      <c r="I377" s="29" t="n">
        <f aca="false">INDEX(Sprint_Metrics!$F$7:$F$16,RANDBETWEEN(1,ROWS(Sprint_Metrics!$F$7:$F$16)))</f>
        <v>7</v>
      </c>
      <c r="J377" s="29" t="n">
        <f aca="false">B377</f>
        <v>9</v>
      </c>
      <c r="K377" s="29" t="n">
        <f aca="false">J377+C377</f>
        <v>21</v>
      </c>
      <c r="L377" s="29" t="n">
        <f aca="false">K377+D377</f>
        <v>30</v>
      </c>
      <c r="M377" s="29" t="n">
        <f aca="false">L377+E377</f>
        <v>38</v>
      </c>
      <c r="N377" s="29" t="n">
        <f aca="false">M377+F377</f>
        <v>50</v>
      </c>
      <c r="O377" s="29" t="n">
        <f aca="false">N377+G377</f>
        <v>58</v>
      </c>
      <c r="P377" s="29" t="n">
        <f aca="false">O377+H377</f>
        <v>70</v>
      </c>
      <c r="Q377" s="29" t="n">
        <f aca="false">P377+I377</f>
        <v>77</v>
      </c>
    </row>
    <row r="378" customFormat="false" ht="15" hidden="false" customHeight="false" outlineLevel="0" collapsed="false">
      <c r="A378" s="29" t="n">
        <v>377</v>
      </c>
      <c r="B378" s="29" t="n">
        <f aca="false">INDEX(Sprint_Metrics!$F$7:$F$16,RANDBETWEEN(1,ROWS(Sprint_Metrics!$F$7:$F$16)))</f>
        <v>9</v>
      </c>
      <c r="C378" s="29" t="n">
        <f aca="false">INDEX(Sprint_Metrics!$F$7:$F$16,RANDBETWEEN(1,ROWS(Sprint_Metrics!$F$7:$F$16)))</f>
        <v>7</v>
      </c>
      <c r="D378" s="29" t="n">
        <f aca="false">INDEX(Sprint_Metrics!$F$7:$F$16,RANDBETWEEN(1,ROWS(Sprint_Metrics!$F$7:$F$16)))</f>
        <v>8</v>
      </c>
      <c r="E378" s="29" t="n">
        <f aca="false">INDEX(Sprint_Metrics!$F$7:$F$16,RANDBETWEEN(1,ROWS(Sprint_Metrics!$F$7:$F$16)))</f>
        <v>8</v>
      </c>
      <c r="F378" s="29" t="n">
        <f aca="false">INDEX(Sprint_Metrics!$F$7:$F$16,RANDBETWEEN(1,ROWS(Sprint_Metrics!$F$7:$F$16)))</f>
        <v>7</v>
      </c>
      <c r="G378" s="29" t="n">
        <f aca="false">INDEX(Sprint_Metrics!$F$7:$F$16,RANDBETWEEN(1,ROWS(Sprint_Metrics!$F$7:$F$16)))</f>
        <v>7</v>
      </c>
      <c r="H378" s="29" t="n">
        <f aca="false">INDEX(Sprint_Metrics!$F$7:$F$16,RANDBETWEEN(1,ROWS(Sprint_Metrics!$F$7:$F$16)))</f>
        <v>9</v>
      </c>
      <c r="I378" s="29" t="n">
        <f aca="false">INDEX(Sprint_Metrics!$F$7:$F$16,RANDBETWEEN(1,ROWS(Sprint_Metrics!$F$7:$F$16)))</f>
        <v>7</v>
      </c>
      <c r="J378" s="29" t="n">
        <f aca="false">B378</f>
        <v>9</v>
      </c>
      <c r="K378" s="29" t="n">
        <f aca="false">J378+C378</f>
        <v>16</v>
      </c>
      <c r="L378" s="29" t="n">
        <f aca="false">K378+D378</f>
        <v>24</v>
      </c>
      <c r="M378" s="29" t="n">
        <f aca="false">L378+E378</f>
        <v>32</v>
      </c>
      <c r="N378" s="29" t="n">
        <f aca="false">M378+F378</f>
        <v>39</v>
      </c>
      <c r="O378" s="29" t="n">
        <f aca="false">N378+G378</f>
        <v>46</v>
      </c>
      <c r="P378" s="29" t="n">
        <f aca="false">O378+H378</f>
        <v>55</v>
      </c>
      <c r="Q378" s="29" t="n">
        <f aca="false">P378+I378</f>
        <v>62</v>
      </c>
    </row>
    <row r="379" customFormat="false" ht="15" hidden="false" customHeight="false" outlineLevel="0" collapsed="false">
      <c r="A379" s="29" t="n">
        <v>378</v>
      </c>
      <c r="B379" s="29" t="n">
        <f aca="false">INDEX(Sprint_Metrics!$F$7:$F$16,RANDBETWEEN(1,ROWS(Sprint_Metrics!$F$7:$F$16)))</f>
        <v>7</v>
      </c>
      <c r="C379" s="29" t="n">
        <f aca="false">INDEX(Sprint_Metrics!$F$7:$F$16,RANDBETWEEN(1,ROWS(Sprint_Metrics!$F$7:$F$16)))</f>
        <v>7</v>
      </c>
      <c r="D379" s="29" t="n">
        <f aca="false">INDEX(Sprint_Metrics!$F$7:$F$16,RANDBETWEEN(1,ROWS(Sprint_Metrics!$F$7:$F$16)))</f>
        <v>9</v>
      </c>
      <c r="E379" s="29" t="n">
        <f aca="false">INDEX(Sprint_Metrics!$F$7:$F$16,RANDBETWEEN(1,ROWS(Sprint_Metrics!$F$7:$F$16)))</f>
        <v>7</v>
      </c>
      <c r="F379" s="29" t="n">
        <f aca="false">INDEX(Sprint_Metrics!$F$7:$F$16,RANDBETWEEN(1,ROWS(Sprint_Metrics!$F$7:$F$16)))</f>
        <v>11</v>
      </c>
      <c r="G379" s="29" t="n">
        <f aca="false">INDEX(Sprint_Metrics!$F$7:$F$16,RANDBETWEEN(1,ROWS(Sprint_Metrics!$F$7:$F$16)))</f>
        <v>11</v>
      </c>
      <c r="H379" s="29" t="n">
        <f aca="false">INDEX(Sprint_Metrics!$F$7:$F$16,RANDBETWEEN(1,ROWS(Sprint_Metrics!$F$7:$F$16)))</f>
        <v>8</v>
      </c>
      <c r="I379" s="29" t="n">
        <f aca="false">INDEX(Sprint_Metrics!$F$7:$F$16,RANDBETWEEN(1,ROWS(Sprint_Metrics!$F$7:$F$16)))</f>
        <v>12</v>
      </c>
      <c r="J379" s="29" t="n">
        <f aca="false">B379</f>
        <v>7</v>
      </c>
      <c r="K379" s="29" t="n">
        <f aca="false">J379+C379</f>
        <v>14</v>
      </c>
      <c r="L379" s="29" t="n">
        <f aca="false">K379+D379</f>
        <v>23</v>
      </c>
      <c r="M379" s="29" t="n">
        <f aca="false">L379+E379</f>
        <v>30</v>
      </c>
      <c r="N379" s="29" t="n">
        <f aca="false">M379+F379</f>
        <v>41</v>
      </c>
      <c r="O379" s="29" t="n">
        <f aca="false">N379+G379</f>
        <v>52</v>
      </c>
      <c r="P379" s="29" t="n">
        <f aca="false">O379+H379</f>
        <v>60</v>
      </c>
      <c r="Q379" s="29" t="n">
        <f aca="false">P379+I379</f>
        <v>72</v>
      </c>
    </row>
    <row r="380" customFormat="false" ht="15" hidden="false" customHeight="false" outlineLevel="0" collapsed="false">
      <c r="A380" s="29" t="n">
        <v>379</v>
      </c>
      <c r="B380" s="29" t="n">
        <f aca="false">INDEX(Sprint_Metrics!$F$7:$F$16,RANDBETWEEN(1,ROWS(Sprint_Metrics!$F$7:$F$16)))</f>
        <v>7</v>
      </c>
      <c r="C380" s="29" t="n">
        <f aca="false">INDEX(Sprint_Metrics!$F$7:$F$16,RANDBETWEEN(1,ROWS(Sprint_Metrics!$F$7:$F$16)))</f>
        <v>11</v>
      </c>
      <c r="D380" s="29" t="n">
        <f aca="false">INDEX(Sprint_Metrics!$F$7:$F$16,RANDBETWEEN(1,ROWS(Sprint_Metrics!$F$7:$F$16)))</f>
        <v>7</v>
      </c>
      <c r="E380" s="29" t="n">
        <f aca="false">INDEX(Sprint_Metrics!$F$7:$F$16,RANDBETWEEN(1,ROWS(Sprint_Metrics!$F$7:$F$16)))</f>
        <v>9</v>
      </c>
      <c r="F380" s="29" t="n">
        <f aca="false">INDEX(Sprint_Metrics!$F$7:$F$16,RANDBETWEEN(1,ROWS(Sprint_Metrics!$F$7:$F$16)))</f>
        <v>11</v>
      </c>
      <c r="G380" s="29" t="n">
        <f aca="false">INDEX(Sprint_Metrics!$F$7:$F$16,RANDBETWEEN(1,ROWS(Sprint_Metrics!$F$7:$F$16)))</f>
        <v>11</v>
      </c>
      <c r="H380" s="29" t="n">
        <f aca="false">INDEX(Sprint_Metrics!$F$7:$F$16,RANDBETWEEN(1,ROWS(Sprint_Metrics!$F$7:$F$16)))</f>
        <v>9</v>
      </c>
      <c r="I380" s="29" t="n">
        <f aca="false">INDEX(Sprint_Metrics!$F$7:$F$16,RANDBETWEEN(1,ROWS(Sprint_Metrics!$F$7:$F$16)))</f>
        <v>11</v>
      </c>
      <c r="J380" s="29" t="n">
        <f aca="false">B380</f>
        <v>7</v>
      </c>
      <c r="K380" s="29" t="n">
        <f aca="false">J380+C380</f>
        <v>18</v>
      </c>
      <c r="L380" s="29" t="n">
        <f aca="false">K380+D380</f>
        <v>25</v>
      </c>
      <c r="M380" s="29" t="n">
        <f aca="false">L380+E380</f>
        <v>34</v>
      </c>
      <c r="N380" s="29" t="n">
        <f aca="false">M380+F380</f>
        <v>45</v>
      </c>
      <c r="O380" s="29" t="n">
        <f aca="false">N380+G380</f>
        <v>56</v>
      </c>
      <c r="P380" s="29" t="n">
        <f aca="false">O380+H380</f>
        <v>65</v>
      </c>
      <c r="Q380" s="29" t="n">
        <f aca="false">P380+I380</f>
        <v>76</v>
      </c>
    </row>
    <row r="381" customFormat="false" ht="15" hidden="false" customHeight="false" outlineLevel="0" collapsed="false">
      <c r="A381" s="29" t="n">
        <v>380</v>
      </c>
      <c r="B381" s="29" t="n">
        <f aca="false">INDEX(Sprint_Metrics!$F$7:$F$16,RANDBETWEEN(1,ROWS(Sprint_Metrics!$F$7:$F$16)))</f>
        <v>8</v>
      </c>
      <c r="C381" s="29" t="n">
        <f aca="false">INDEX(Sprint_Metrics!$F$7:$F$16,RANDBETWEEN(1,ROWS(Sprint_Metrics!$F$7:$F$16)))</f>
        <v>9</v>
      </c>
      <c r="D381" s="29" t="n">
        <f aca="false">INDEX(Sprint_Metrics!$F$7:$F$16,RANDBETWEEN(1,ROWS(Sprint_Metrics!$F$7:$F$16)))</f>
        <v>8</v>
      </c>
      <c r="E381" s="29" t="n">
        <f aca="false">INDEX(Sprint_Metrics!$F$7:$F$16,RANDBETWEEN(1,ROWS(Sprint_Metrics!$F$7:$F$16)))</f>
        <v>11</v>
      </c>
      <c r="F381" s="29" t="n">
        <f aca="false">INDEX(Sprint_Metrics!$F$7:$F$16,RANDBETWEEN(1,ROWS(Sprint_Metrics!$F$7:$F$16)))</f>
        <v>12</v>
      </c>
      <c r="G381" s="29" t="n">
        <f aca="false">INDEX(Sprint_Metrics!$F$7:$F$16,RANDBETWEEN(1,ROWS(Sprint_Metrics!$F$7:$F$16)))</f>
        <v>8</v>
      </c>
      <c r="H381" s="29" t="n">
        <f aca="false">INDEX(Sprint_Metrics!$F$7:$F$16,RANDBETWEEN(1,ROWS(Sprint_Metrics!$F$7:$F$16)))</f>
        <v>11</v>
      </c>
      <c r="I381" s="29" t="n">
        <f aca="false">INDEX(Sprint_Metrics!$F$7:$F$16,RANDBETWEEN(1,ROWS(Sprint_Metrics!$F$7:$F$16)))</f>
        <v>7</v>
      </c>
      <c r="J381" s="29" t="n">
        <f aca="false">B381</f>
        <v>8</v>
      </c>
      <c r="K381" s="29" t="n">
        <f aca="false">J381+C381</f>
        <v>17</v>
      </c>
      <c r="L381" s="29" t="n">
        <f aca="false">K381+D381</f>
        <v>25</v>
      </c>
      <c r="M381" s="29" t="n">
        <f aca="false">L381+E381</f>
        <v>36</v>
      </c>
      <c r="N381" s="29" t="n">
        <f aca="false">M381+F381</f>
        <v>48</v>
      </c>
      <c r="O381" s="29" t="n">
        <f aca="false">N381+G381</f>
        <v>56</v>
      </c>
      <c r="P381" s="29" t="n">
        <f aca="false">O381+H381</f>
        <v>67</v>
      </c>
      <c r="Q381" s="29" t="n">
        <f aca="false">P381+I381</f>
        <v>74</v>
      </c>
    </row>
    <row r="382" customFormat="false" ht="15" hidden="false" customHeight="false" outlineLevel="0" collapsed="false">
      <c r="A382" s="29" t="n">
        <v>381</v>
      </c>
      <c r="B382" s="29" t="n">
        <f aca="false">INDEX(Sprint_Metrics!$F$7:$F$16,RANDBETWEEN(1,ROWS(Sprint_Metrics!$F$7:$F$16)))</f>
        <v>9</v>
      </c>
      <c r="C382" s="29" t="n">
        <f aca="false">INDEX(Sprint_Metrics!$F$7:$F$16,RANDBETWEEN(1,ROWS(Sprint_Metrics!$F$7:$F$16)))</f>
        <v>9</v>
      </c>
      <c r="D382" s="29" t="n">
        <f aca="false">INDEX(Sprint_Metrics!$F$7:$F$16,RANDBETWEEN(1,ROWS(Sprint_Metrics!$F$7:$F$16)))</f>
        <v>12</v>
      </c>
      <c r="E382" s="29" t="n">
        <f aca="false">INDEX(Sprint_Metrics!$F$7:$F$16,RANDBETWEEN(1,ROWS(Sprint_Metrics!$F$7:$F$16)))</f>
        <v>7</v>
      </c>
      <c r="F382" s="29" t="n">
        <f aca="false">INDEX(Sprint_Metrics!$F$7:$F$16,RANDBETWEEN(1,ROWS(Sprint_Metrics!$F$7:$F$16)))</f>
        <v>8</v>
      </c>
      <c r="G382" s="29" t="n">
        <f aca="false">INDEX(Sprint_Metrics!$F$7:$F$16,RANDBETWEEN(1,ROWS(Sprint_Metrics!$F$7:$F$16)))</f>
        <v>11</v>
      </c>
      <c r="H382" s="29" t="n">
        <f aca="false">INDEX(Sprint_Metrics!$F$7:$F$16,RANDBETWEEN(1,ROWS(Sprint_Metrics!$F$7:$F$16)))</f>
        <v>7</v>
      </c>
      <c r="I382" s="29" t="n">
        <f aca="false">INDEX(Sprint_Metrics!$F$7:$F$16,RANDBETWEEN(1,ROWS(Sprint_Metrics!$F$7:$F$16)))</f>
        <v>9</v>
      </c>
      <c r="J382" s="29" t="n">
        <f aca="false">B382</f>
        <v>9</v>
      </c>
      <c r="K382" s="29" t="n">
        <f aca="false">J382+C382</f>
        <v>18</v>
      </c>
      <c r="L382" s="29" t="n">
        <f aca="false">K382+D382</f>
        <v>30</v>
      </c>
      <c r="M382" s="29" t="n">
        <f aca="false">L382+E382</f>
        <v>37</v>
      </c>
      <c r="N382" s="29" t="n">
        <f aca="false">M382+F382</f>
        <v>45</v>
      </c>
      <c r="O382" s="29" t="n">
        <f aca="false">N382+G382</f>
        <v>56</v>
      </c>
      <c r="P382" s="29" t="n">
        <f aca="false">O382+H382</f>
        <v>63</v>
      </c>
      <c r="Q382" s="29" t="n">
        <f aca="false">P382+I382</f>
        <v>72</v>
      </c>
    </row>
    <row r="383" customFormat="false" ht="15" hidden="false" customHeight="false" outlineLevel="0" collapsed="false">
      <c r="A383" s="29" t="n">
        <v>382</v>
      </c>
      <c r="B383" s="29" t="n">
        <f aca="false">INDEX(Sprint_Metrics!$F$7:$F$16,RANDBETWEEN(1,ROWS(Sprint_Metrics!$F$7:$F$16)))</f>
        <v>8</v>
      </c>
      <c r="C383" s="29" t="n">
        <f aca="false">INDEX(Sprint_Metrics!$F$7:$F$16,RANDBETWEEN(1,ROWS(Sprint_Metrics!$F$7:$F$16)))</f>
        <v>8</v>
      </c>
      <c r="D383" s="29" t="n">
        <f aca="false">INDEX(Sprint_Metrics!$F$7:$F$16,RANDBETWEEN(1,ROWS(Sprint_Metrics!$F$7:$F$16)))</f>
        <v>7</v>
      </c>
      <c r="E383" s="29" t="n">
        <f aca="false">INDEX(Sprint_Metrics!$F$7:$F$16,RANDBETWEEN(1,ROWS(Sprint_Metrics!$F$7:$F$16)))</f>
        <v>11</v>
      </c>
      <c r="F383" s="29" t="n">
        <f aca="false">INDEX(Sprint_Metrics!$F$7:$F$16,RANDBETWEEN(1,ROWS(Sprint_Metrics!$F$7:$F$16)))</f>
        <v>8</v>
      </c>
      <c r="G383" s="29" t="n">
        <f aca="false">INDEX(Sprint_Metrics!$F$7:$F$16,RANDBETWEEN(1,ROWS(Sprint_Metrics!$F$7:$F$16)))</f>
        <v>9</v>
      </c>
      <c r="H383" s="29" t="n">
        <f aca="false">INDEX(Sprint_Metrics!$F$7:$F$16,RANDBETWEEN(1,ROWS(Sprint_Metrics!$F$7:$F$16)))</f>
        <v>12</v>
      </c>
      <c r="I383" s="29" t="n">
        <f aca="false">INDEX(Sprint_Metrics!$F$7:$F$16,RANDBETWEEN(1,ROWS(Sprint_Metrics!$F$7:$F$16)))</f>
        <v>7</v>
      </c>
      <c r="J383" s="29" t="n">
        <f aca="false">B383</f>
        <v>8</v>
      </c>
      <c r="K383" s="29" t="n">
        <f aca="false">J383+C383</f>
        <v>16</v>
      </c>
      <c r="L383" s="29" t="n">
        <f aca="false">K383+D383</f>
        <v>23</v>
      </c>
      <c r="M383" s="29" t="n">
        <f aca="false">L383+E383</f>
        <v>34</v>
      </c>
      <c r="N383" s="29" t="n">
        <f aca="false">M383+F383</f>
        <v>42</v>
      </c>
      <c r="O383" s="29" t="n">
        <f aca="false">N383+G383</f>
        <v>51</v>
      </c>
      <c r="P383" s="29" t="n">
        <f aca="false">O383+H383</f>
        <v>63</v>
      </c>
      <c r="Q383" s="29" t="n">
        <f aca="false">P383+I383</f>
        <v>70</v>
      </c>
    </row>
    <row r="384" customFormat="false" ht="15" hidden="false" customHeight="false" outlineLevel="0" collapsed="false">
      <c r="A384" s="29" t="n">
        <v>383</v>
      </c>
      <c r="B384" s="29" t="n">
        <f aca="false">INDEX(Sprint_Metrics!$F$7:$F$16,RANDBETWEEN(1,ROWS(Sprint_Metrics!$F$7:$F$16)))</f>
        <v>11</v>
      </c>
      <c r="C384" s="29" t="n">
        <f aca="false">INDEX(Sprint_Metrics!$F$7:$F$16,RANDBETWEEN(1,ROWS(Sprint_Metrics!$F$7:$F$16)))</f>
        <v>7</v>
      </c>
      <c r="D384" s="29" t="n">
        <f aca="false">INDEX(Sprint_Metrics!$F$7:$F$16,RANDBETWEEN(1,ROWS(Sprint_Metrics!$F$7:$F$16)))</f>
        <v>9</v>
      </c>
      <c r="E384" s="29" t="n">
        <f aca="false">INDEX(Sprint_Metrics!$F$7:$F$16,RANDBETWEEN(1,ROWS(Sprint_Metrics!$F$7:$F$16)))</f>
        <v>9</v>
      </c>
      <c r="F384" s="29" t="n">
        <f aca="false">INDEX(Sprint_Metrics!$F$7:$F$16,RANDBETWEEN(1,ROWS(Sprint_Metrics!$F$7:$F$16)))</f>
        <v>11</v>
      </c>
      <c r="G384" s="29" t="n">
        <f aca="false">INDEX(Sprint_Metrics!$F$7:$F$16,RANDBETWEEN(1,ROWS(Sprint_Metrics!$F$7:$F$16)))</f>
        <v>8</v>
      </c>
      <c r="H384" s="29" t="n">
        <f aca="false">INDEX(Sprint_Metrics!$F$7:$F$16,RANDBETWEEN(1,ROWS(Sprint_Metrics!$F$7:$F$16)))</f>
        <v>8</v>
      </c>
      <c r="I384" s="29" t="n">
        <f aca="false">INDEX(Sprint_Metrics!$F$7:$F$16,RANDBETWEEN(1,ROWS(Sprint_Metrics!$F$7:$F$16)))</f>
        <v>11</v>
      </c>
      <c r="J384" s="29" t="n">
        <f aca="false">B384</f>
        <v>11</v>
      </c>
      <c r="K384" s="29" t="n">
        <f aca="false">J384+C384</f>
        <v>18</v>
      </c>
      <c r="L384" s="29" t="n">
        <f aca="false">K384+D384</f>
        <v>27</v>
      </c>
      <c r="M384" s="29" t="n">
        <f aca="false">L384+E384</f>
        <v>36</v>
      </c>
      <c r="N384" s="29" t="n">
        <f aca="false">M384+F384</f>
        <v>47</v>
      </c>
      <c r="O384" s="29" t="n">
        <f aca="false">N384+G384</f>
        <v>55</v>
      </c>
      <c r="P384" s="29" t="n">
        <f aca="false">O384+H384</f>
        <v>63</v>
      </c>
      <c r="Q384" s="29" t="n">
        <f aca="false">P384+I384</f>
        <v>74</v>
      </c>
    </row>
    <row r="385" customFormat="false" ht="15" hidden="false" customHeight="false" outlineLevel="0" collapsed="false">
      <c r="A385" s="29" t="n">
        <v>384</v>
      </c>
      <c r="B385" s="29" t="n">
        <f aca="false">INDEX(Sprint_Metrics!$F$7:$F$16,RANDBETWEEN(1,ROWS(Sprint_Metrics!$F$7:$F$16)))</f>
        <v>11</v>
      </c>
      <c r="C385" s="29" t="n">
        <f aca="false">INDEX(Sprint_Metrics!$F$7:$F$16,RANDBETWEEN(1,ROWS(Sprint_Metrics!$F$7:$F$16)))</f>
        <v>7</v>
      </c>
      <c r="D385" s="29" t="n">
        <f aca="false">INDEX(Sprint_Metrics!$F$7:$F$16,RANDBETWEEN(1,ROWS(Sprint_Metrics!$F$7:$F$16)))</f>
        <v>7</v>
      </c>
      <c r="E385" s="29" t="n">
        <f aca="false">INDEX(Sprint_Metrics!$F$7:$F$16,RANDBETWEEN(1,ROWS(Sprint_Metrics!$F$7:$F$16)))</f>
        <v>11</v>
      </c>
      <c r="F385" s="29" t="n">
        <f aca="false">INDEX(Sprint_Metrics!$F$7:$F$16,RANDBETWEEN(1,ROWS(Sprint_Metrics!$F$7:$F$16)))</f>
        <v>11</v>
      </c>
      <c r="G385" s="29" t="n">
        <f aca="false">INDEX(Sprint_Metrics!$F$7:$F$16,RANDBETWEEN(1,ROWS(Sprint_Metrics!$F$7:$F$16)))</f>
        <v>9</v>
      </c>
      <c r="H385" s="29" t="n">
        <f aca="false">INDEX(Sprint_Metrics!$F$7:$F$16,RANDBETWEEN(1,ROWS(Sprint_Metrics!$F$7:$F$16)))</f>
        <v>11</v>
      </c>
      <c r="I385" s="29" t="n">
        <f aca="false">INDEX(Sprint_Metrics!$F$7:$F$16,RANDBETWEEN(1,ROWS(Sprint_Metrics!$F$7:$F$16)))</f>
        <v>7</v>
      </c>
      <c r="J385" s="29" t="n">
        <f aca="false">B385</f>
        <v>11</v>
      </c>
      <c r="K385" s="29" t="n">
        <f aca="false">J385+C385</f>
        <v>18</v>
      </c>
      <c r="L385" s="29" t="n">
        <f aca="false">K385+D385</f>
        <v>25</v>
      </c>
      <c r="M385" s="29" t="n">
        <f aca="false">L385+E385</f>
        <v>36</v>
      </c>
      <c r="N385" s="29" t="n">
        <f aca="false">M385+F385</f>
        <v>47</v>
      </c>
      <c r="O385" s="29" t="n">
        <f aca="false">N385+G385</f>
        <v>56</v>
      </c>
      <c r="P385" s="29" t="n">
        <f aca="false">O385+H385</f>
        <v>67</v>
      </c>
      <c r="Q385" s="29" t="n">
        <f aca="false">P385+I385</f>
        <v>74</v>
      </c>
    </row>
    <row r="386" customFormat="false" ht="15" hidden="false" customHeight="false" outlineLevel="0" collapsed="false">
      <c r="A386" s="29" t="n">
        <v>385</v>
      </c>
      <c r="B386" s="29" t="n">
        <f aca="false">INDEX(Sprint_Metrics!$F$7:$F$16,RANDBETWEEN(1,ROWS(Sprint_Metrics!$F$7:$F$16)))</f>
        <v>11</v>
      </c>
      <c r="C386" s="29" t="n">
        <f aca="false">INDEX(Sprint_Metrics!$F$7:$F$16,RANDBETWEEN(1,ROWS(Sprint_Metrics!$F$7:$F$16)))</f>
        <v>7</v>
      </c>
      <c r="D386" s="29" t="n">
        <f aca="false">INDEX(Sprint_Metrics!$F$7:$F$16,RANDBETWEEN(1,ROWS(Sprint_Metrics!$F$7:$F$16)))</f>
        <v>7</v>
      </c>
      <c r="E386" s="29" t="n">
        <f aca="false">INDEX(Sprint_Metrics!$F$7:$F$16,RANDBETWEEN(1,ROWS(Sprint_Metrics!$F$7:$F$16)))</f>
        <v>9</v>
      </c>
      <c r="F386" s="29" t="n">
        <f aca="false">INDEX(Sprint_Metrics!$F$7:$F$16,RANDBETWEEN(1,ROWS(Sprint_Metrics!$F$7:$F$16)))</f>
        <v>7</v>
      </c>
      <c r="G386" s="29" t="n">
        <f aca="false">INDEX(Sprint_Metrics!$F$7:$F$16,RANDBETWEEN(1,ROWS(Sprint_Metrics!$F$7:$F$16)))</f>
        <v>7</v>
      </c>
      <c r="H386" s="29" t="n">
        <f aca="false">INDEX(Sprint_Metrics!$F$7:$F$16,RANDBETWEEN(1,ROWS(Sprint_Metrics!$F$7:$F$16)))</f>
        <v>8</v>
      </c>
      <c r="I386" s="29" t="n">
        <f aca="false">INDEX(Sprint_Metrics!$F$7:$F$16,RANDBETWEEN(1,ROWS(Sprint_Metrics!$F$7:$F$16)))</f>
        <v>12</v>
      </c>
      <c r="J386" s="29" t="n">
        <f aca="false">B386</f>
        <v>11</v>
      </c>
      <c r="K386" s="29" t="n">
        <f aca="false">J386+C386</f>
        <v>18</v>
      </c>
      <c r="L386" s="29" t="n">
        <f aca="false">K386+D386</f>
        <v>25</v>
      </c>
      <c r="M386" s="29" t="n">
        <f aca="false">L386+E386</f>
        <v>34</v>
      </c>
      <c r="N386" s="29" t="n">
        <f aca="false">M386+F386</f>
        <v>41</v>
      </c>
      <c r="O386" s="29" t="n">
        <f aca="false">N386+G386</f>
        <v>48</v>
      </c>
      <c r="P386" s="29" t="n">
        <f aca="false">O386+H386</f>
        <v>56</v>
      </c>
      <c r="Q386" s="29" t="n">
        <f aca="false">P386+I386</f>
        <v>68</v>
      </c>
    </row>
    <row r="387" customFormat="false" ht="15" hidden="false" customHeight="false" outlineLevel="0" collapsed="false">
      <c r="A387" s="29" t="n">
        <v>386</v>
      </c>
      <c r="B387" s="29" t="n">
        <f aca="false">INDEX(Sprint_Metrics!$F$7:$F$16,RANDBETWEEN(1,ROWS(Sprint_Metrics!$F$7:$F$16)))</f>
        <v>8</v>
      </c>
      <c r="C387" s="29" t="n">
        <f aca="false">INDEX(Sprint_Metrics!$F$7:$F$16,RANDBETWEEN(1,ROWS(Sprint_Metrics!$F$7:$F$16)))</f>
        <v>11</v>
      </c>
      <c r="D387" s="29" t="n">
        <f aca="false">INDEX(Sprint_Metrics!$F$7:$F$16,RANDBETWEEN(1,ROWS(Sprint_Metrics!$F$7:$F$16)))</f>
        <v>11</v>
      </c>
      <c r="E387" s="29" t="n">
        <f aca="false">INDEX(Sprint_Metrics!$F$7:$F$16,RANDBETWEEN(1,ROWS(Sprint_Metrics!$F$7:$F$16)))</f>
        <v>9</v>
      </c>
      <c r="F387" s="29" t="n">
        <f aca="false">INDEX(Sprint_Metrics!$F$7:$F$16,RANDBETWEEN(1,ROWS(Sprint_Metrics!$F$7:$F$16)))</f>
        <v>7</v>
      </c>
      <c r="G387" s="29" t="n">
        <f aca="false">INDEX(Sprint_Metrics!$F$7:$F$16,RANDBETWEEN(1,ROWS(Sprint_Metrics!$F$7:$F$16)))</f>
        <v>11</v>
      </c>
      <c r="H387" s="29" t="n">
        <f aca="false">INDEX(Sprint_Metrics!$F$7:$F$16,RANDBETWEEN(1,ROWS(Sprint_Metrics!$F$7:$F$16)))</f>
        <v>9</v>
      </c>
      <c r="I387" s="29" t="n">
        <f aca="false">INDEX(Sprint_Metrics!$F$7:$F$16,RANDBETWEEN(1,ROWS(Sprint_Metrics!$F$7:$F$16)))</f>
        <v>8</v>
      </c>
      <c r="J387" s="29" t="n">
        <f aca="false">B387</f>
        <v>8</v>
      </c>
      <c r="K387" s="29" t="n">
        <f aca="false">J387+C387</f>
        <v>19</v>
      </c>
      <c r="L387" s="29" t="n">
        <f aca="false">K387+D387</f>
        <v>30</v>
      </c>
      <c r="M387" s="29" t="n">
        <f aca="false">L387+E387</f>
        <v>39</v>
      </c>
      <c r="N387" s="29" t="n">
        <f aca="false">M387+F387</f>
        <v>46</v>
      </c>
      <c r="O387" s="29" t="n">
        <f aca="false">N387+G387</f>
        <v>57</v>
      </c>
      <c r="P387" s="29" t="n">
        <f aca="false">O387+H387</f>
        <v>66</v>
      </c>
      <c r="Q387" s="29" t="n">
        <f aca="false">P387+I387</f>
        <v>74</v>
      </c>
    </row>
    <row r="388" customFormat="false" ht="15" hidden="false" customHeight="false" outlineLevel="0" collapsed="false">
      <c r="A388" s="29" t="n">
        <v>387</v>
      </c>
      <c r="B388" s="29" t="n">
        <f aca="false">INDEX(Sprint_Metrics!$F$7:$F$16,RANDBETWEEN(1,ROWS(Sprint_Metrics!$F$7:$F$16)))</f>
        <v>8</v>
      </c>
      <c r="C388" s="29" t="n">
        <f aca="false">INDEX(Sprint_Metrics!$F$7:$F$16,RANDBETWEEN(1,ROWS(Sprint_Metrics!$F$7:$F$16)))</f>
        <v>8</v>
      </c>
      <c r="D388" s="29" t="n">
        <f aca="false">INDEX(Sprint_Metrics!$F$7:$F$16,RANDBETWEEN(1,ROWS(Sprint_Metrics!$F$7:$F$16)))</f>
        <v>8</v>
      </c>
      <c r="E388" s="29" t="n">
        <f aca="false">INDEX(Sprint_Metrics!$F$7:$F$16,RANDBETWEEN(1,ROWS(Sprint_Metrics!$F$7:$F$16)))</f>
        <v>12</v>
      </c>
      <c r="F388" s="29" t="n">
        <f aca="false">INDEX(Sprint_Metrics!$F$7:$F$16,RANDBETWEEN(1,ROWS(Sprint_Metrics!$F$7:$F$16)))</f>
        <v>8</v>
      </c>
      <c r="G388" s="29" t="n">
        <f aca="false">INDEX(Sprint_Metrics!$F$7:$F$16,RANDBETWEEN(1,ROWS(Sprint_Metrics!$F$7:$F$16)))</f>
        <v>12</v>
      </c>
      <c r="H388" s="29" t="n">
        <f aca="false">INDEX(Sprint_Metrics!$F$7:$F$16,RANDBETWEEN(1,ROWS(Sprint_Metrics!$F$7:$F$16)))</f>
        <v>9</v>
      </c>
      <c r="I388" s="29" t="n">
        <f aca="false">INDEX(Sprint_Metrics!$F$7:$F$16,RANDBETWEEN(1,ROWS(Sprint_Metrics!$F$7:$F$16)))</f>
        <v>11</v>
      </c>
      <c r="J388" s="29" t="n">
        <f aca="false">B388</f>
        <v>8</v>
      </c>
      <c r="K388" s="29" t="n">
        <f aca="false">J388+C388</f>
        <v>16</v>
      </c>
      <c r="L388" s="29" t="n">
        <f aca="false">K388+D388</f>
        <v>24</v>
      </c>
      <c r="M388" s="29" t="n">
        <f aca="false">L388+E388</f>
        <v>36</v>
      </c>
      <c r="N388" s="29" t="n">
        <f aca="false">M388+F388</f>
        <v>44</v>
      </c>
      <c r="O388" s="29" t="n">
        <f aca="false">N388+G388</f>
        <v>56</v>
      </c>
      <c r="P388" s="29" t="n">
        <f aca="false">O388+H388</f>
        <v>65</v>
      </c>
      <c r="Q388" s="29" t="n">
        <f aca="false">P388+I388</f>
        <v>76</v>
      </c>
    </row>
    <row r="389" customFormat="false" ht="15" hidden="false" customHeight="false" outlineLevel="0" collapsed="false">
      <c r="A389" s="29" t="n">
        <v>388</v>
      </c>
      <c r="B389" s="29" t="n">
        <f aca="false">INDEX(Sprint_Metrics!$F$7:$F$16,RANDBETWEEN(1,ROWS(Sprint_Metrics!$F$7:$F$16)))</f>
        <v>8</v>
      </c>
      <c r="C389" s="29" t="n">
        <f aca="false">INDEX(Sprint_Metrics!$F$7:$F$16,RANDBETWEEN(1,ROWS(Sprint_Metrics!$F$7:$F$16)))</f>
        <v>8</v>
      </c>
      <c r="D389" s="29" t="n">
        <f aca="false">INDEX(Sprint_Metrics!$F$7:$F$16,RANDBETWEEN(1,ROWS(Sprint_Metrics!$F$7:$F$16)))</f>
        <v>8</v>
      </c>
      <c r="E389" s="29" t="n">
        <f aca="false">INDEX(Sprint_Metrics!$F$7:$F$16,RANDBETWEEN(1,ROWS(Sprint_Metrics!$F$7:$F$16)))</f>
        <v>9</v>
      </c>
      <c r="F389" s="29" t="n">
        <f aca="false">INDEX(Sprint_Metrics!$F$7:$F$16,RANDBETWEEN(1,ROWS(Sprint_Metrics!$F$7:$F$16)))</f>
        <v>9</v>
      </c>
      <c r="G389" s="29" t="n">
        <f aca="false">INDEX(Sprint_Metrics!$F$7:$F$16,RANDBETWEEN(1,ROWS(Sprint_Metrics!$F$7:$F$16)))</f>
        <v>8</v>
      </c>
      <c r="H389" s="29" t="n">
        <f aca="false">INDEX(Sprint_Metrics!$F$7:$F$16,RANDBETWEEN(1,ROWS(Sprint_Metrics!$F$7:$F$16)))</f>
        <v>7</v>
      </c>
      <c r="I389" s="29" t="n">
        <f aca="false">INDEX(Sprint_Metrics!$F$7:$F$16,RANDBETWEEN(1,ROWS(Sprint_Metrics!$F$7:$F$16)))</f>
        <v>8</v>
      </c>
      <c r="J389" s="29" t="n">
        <f aca="false">B389</f>
        <v>8</v>
      </c>
      <c r="K389" s="29" t="n">
        <f aca="false">J389+C389</f>
        <v>16</v>
      </c>
      <c r="L389" s="29" t="n">
        <f aca="false">K389+D389</f>
        <v>24</v>
      </c>
      <c r="M389" s="29" t="n">
        <f aca="false">L389+E389</f>
        <v>33</v>
      </c>
      <c r="N389" s="29" t="n">
        <f aca="false">M389+F389</f>
        <v>42</v>
      </c>
      <c r="O389" s="29" t="n">
        <f aca="false">N389+G389</f>
        <v>50</v>
      </c>
      <c r="P389" s="29" t="n">
        <f aca="false">O389+H389</f>
        <v>57</v>
      </c>
      <c r="Q389" s="29" t="n">
        <f aca="false">P389+I389</f>
        <v>65</v>
      </c>
    </row>
    <row r="390" customFormat="false" ht="15" hidden="false" customHeight="false" outlineLevel="0" collapsed="false">
      <c r="A390" s="29" t="n">
        <v>389</v>
      </c>
      <c r="B390" s="29" t="n">
        <f aca="false">INDEX(Sprint_Metrics!$F$7:$F$16,RANDBETWEEN(1,ROWS(Sprint_Metrics!$F$7:$F$16)))</f>
        <v>8</v>
      </c>
      <c r="C390" s="29" t="n">
        <f aca="false">INDEX(Sprint_Metrics!$F$7:$F$16,RANDBETWEEN(1,ROWS(Sprint_Metrics!$F$7:$F$16)))</f>
        <v>8</v>
      </c>
      <c r="D390" s="29" t="n">
        <f aca="false">INDEX(Sprint_Metrics!$F$7:$F$16,RANDBETWEEN(1,ROWS(Sprint_Metrics!$F$7:$F$16)))</f>
        <v>8</v>
      </c>
      <c r="E390" s="29" t="n">
        <f aca="false">INDEX(Sprint_Metrics!$F$7:$F$16,RANDBETWEEN(1,ROWS(Sprint_Metrics!$F$7:$F$16)))</f>
        <v>7</v>
      </c>
      <c r="F390" s="29" t="n">
        <f aca="false">INDEX(Sprint_Metrics!$F$7:$F$16,RANDBETWEEN(1,ROWS(Sprint_Metrics!$F$7:$F$16)))</f>
        <v>12</v>
      </c>
      <c r="G390" s="29" t="n">
        <f aca="false">INDEX(Sprint_Metrics!$F$7:$F$16,RANDBETWEEN(1,ROWS(Sprint_Metrics!$F$7:$F$16)))</f>
        <v>7</v>
      </c>
      <c r="H390" s="29" t="n">
        <f aca="false">INDEX(Sprint_Metrics!$F$7:$F$16,RANDBETWEEN(1,ROWS(Sprint_Metrics!$F$7:$F$16)))</f>
        <v>9</v>
      </c>
      <c r="I390" s="29" t="n">
        <f aca="false">INDEX(Sprint_Metrics!$F$7:$F$16,RANDBETWEEN(1,ROWS(Sprint_Metrics!$F$7:$F$16)))</f>
        <v>11</v>
      </c>
      <c r="J390" s="29" t="n">
        <f aca="false">B390</f>
        <v>8</v>
      </c>
      <c r="K390" s="29" t="n">
        <f aca="false">J390+C390</f>
        <v>16</v>
      </c>
      <c r="L390" s="29" t="n">
        <f aca="false">K390+D390</f>
        <v>24</v>
      </c>
      <c r="M390" s="29" t="n">
        <f aca="false">L390+E390</f>
        <v>31</v>
      </c>
      <c r="N390" s="29" t="n">
        <f aca="false">M390+F390</f>
        <v>43</v>
      </c>
      <c r="O390" s="29" t="n">
        <f aca="false">N390+G390</f>
        <v>50</v>
      </c>
      <c r="P390" s="29" t="n">
        <f aca="false">O390+H390</f>
        <v>59</v>
      </c>
      <c r="Q390" s="29" t="n">
        <f aca="false">P390+I390</f>
        <v>70</v>
      </c>
    </row>
    <row r="391" customFormat="false" ht="15" hidden="false" customHeight="false" outlineLevel="0" collapsed="false">
      <c r="A391" s="29" t="n">
        <v>390</v>
      </c>
      <c r="B391" s="29" t="n">
        <f aca="false">INDEX(Sprint_Metrics!$F$7:$F$16,RANDBETWEEN(1,ROWS(Sprint_Metrics!$F$7:$F$16)))</f>
        <v>9</v>
      </c>
      <c r="C391" s="29" t="n">
        <f aca="false">INDEX(Sprint_Metrics!$F$7:$F$16,RANDBETWEEN(1,ROWS(Sprint_Metrics!$F$7:$F$16)))</f>
        <v>9</v>
      </c>
      <c r="D391" s="29" t="n">
        <f aca="false">INDEX(Sprint_Metrics!$F$7:$F$16,RANDBETWEEN(1,ROWS(Sprint_Metrics!$F$7:$F$16)))</f>
        <v>7</v>
      </c>
      <c r="E391" s="29" t="n">
        <f aca="false">INDEX(Sprint_Metrics!$F$7:$F$16,RANDBETWEEN(1,ROWS(Sprint_Metrics!$F$7:$F$16)))</f>
        <v>11</v>
      </c>
      <c r="F391" s="29" t="n">
        <f aca="false">INDEX(Sprint_Metrics!$F$7:$F$16,RANDBETWEEN(1,ROWS(Sprint_Metrics!$F$7:$F$16)))</f>
        <v>9</v>
      </c>
      <c r="G391" s="29" t="n">
        <f aca="false">INDEX(Sprint_Metrics!$F$7:$F$16,RANDBETWEEN(1,ROWS(Sprint_Metrics!$F$7:$F$16)))</f>
        <v>7</v>
      </c>
      <c r="H391" s="29" t="n">
        <f aca="false">INDEX(Sprint_Metrics!$F$7:$F$16,RANDBETWEEN(1,ROWS(Sprint_Metrics!$F$7:$F$16)))</f>
        <v>9</v>
      </c>
      <c r="I391" s="29" t="n">
        <f aca="false">INDEX(Sprint_Metrics!$F$7:$F$16,RANDBETWEEN(1,ROWS(Sprint_Metrics!$F$7:$F$16)))</f>
        <v>7</v>
      </c>
      <c r="J391" s="29" t="n">
        <f aca="false">B391</f>
        <v>9</v>
      </c>
      <c r="K391" s="29" t="n">
        <f aca="false">J391+C391</f>
        <v>18</v>
      </c>
      <c r="L391" s="29" t="n">
        <f aca="false">K391+D391</f>
        <v>25</v>
      </c>
      <c r="M391" s="29" t="n">
        <f aca="false">L391+E391</f>
        <v>36</v>
      </c>
      <c r="N391" s="29" t="n">
        <f aca="false">M391+F391</f>
        <v>45</v>
      </c>
      <c r="O391" s="29" t="n">
        <f aca="false">N391+G391</f>
        <v>52</v>
      </c>
      <c r="P391" s="29" t="n">
        <f aca="false">O391+H391</f>
        <v>61</v>
      </c>
      <c r="Q391" s="29" t="n">
        <f aca="false">P391+I391</f>
        <v>68</v>
      </c>
    </row>
    <row r="392" customFormat="false" ht="15" hidden="false" customHeight="false" outlineLevel="0" collapsed="false">
      <c r="A392" s="29" t="n">
        <v>391</v>
      </c>
      <c r="B392" s="29" t="n">
        <f aca="false">INDEX(Sprint_Metrics!$F$7:$F$16,RANDBETWEEN(1,ROWS(Sprint_Metrics!$F$7:$F$16)))</f>
        <v>8</v>
      </c>
      <c r="C392" s="29" t="n">
        <f aca="false">INDEX(Sprint_Metrics!$F$7:$F$16,RANDBETWEEN(1,ROWS(Sprint_Metrics!$F$7:$F$16)))</f>
        <v>8</v>
      </c>
      <c r="D392" s="29" t="n">
        <f aca="false">INDEX(Sprint_Metrics!$F$7:$F$16,RANDBETWEEN(1,ROWS(Sprint_Metrics!$F$7:$F$16)))</f>
        <v>9</v>
      </c>
      <c r="E392" s="29" t="n">
        <f aca="false">INDEX(Sprint_Metrics!$F$7:$F$16,RANDBETWEEN(1,ROWS(Sprint_Metrics!$F$7:$F$16)))</f>
        <v>8</v>
      </c>
      <c r="F392" s="29" t="n">
        <f aca="false">INDEX(Sprint_Metrics!$F$7:$F$16,RANDBETWEEN(1,ROWS(Sprint_Metrics!$F$7:$F$16)))</f>
        <v>9</v>
      </c>
      <c r="G392" s="29" t="n">
        <f aca="false">INDEX(Sprint_Metrics!$F$7:$F$16,RANDBETWEEN(1,ROWS(Sprint_Metrics!$F$7:$F$16)))</f>
        <v>11</v>
      </c>
      <c r="H392" s="29" t="n">
        <f aca="false">INDEX(Sprint_Metrics!$F$7:$F$16,RANDBETWEEN(1,ROWS(Sprint_Metrics!$F$7:$F$16)))</f>
        <v>8</v>
      </c>
      <c r="I392" s="29" t="n">
        <f aca="false">INDEX(Sprint_Metrics!$F$7:$F$16,RANDBETWEEN(1,ROWS(Sprint_Metrics!$F$7:$F$16)))</f>
        <v>7</v>
      </c>
      <c r="J392" s="29" t="n">
        <f aca="false">B392</f>
        <v>8</v>
      </c>
      <c r="K392" s="29" t="n">
        <f aca="false">J392+C392</f>
        <v>16</v>
      </c>
      <c r="L392" s="29" t="n">
        <f aca="false">K392+D392</f>
        <v>25</v>
      </c>
      <c r="M392" s="29" t="n">
        <f aca="false">L392+E392</f>
        <v>33</v>
      </c>
      <c r="N392" s="29" t="n">
        <f aca="false">M392+F392</f>
        <v>42</v>
      </c>
      <c r="O392" s="29" t="n">
        <f aca="false">N392+G392</f>
        <v>53</v>
      </c>
      <c r="P392" s="29" t="n">
        <f aca="false">O392+H392</f>
        <v>61</v>
      </c>
      <c r="Q392" s="29" t="n">
        <f aca="false">P392+I392</f>
        <v>68</v>
      </c>
    </row>
    <row r="393" customFormat="false" ht="15" hidden="false" customHeight="false" outlineLevel="0" collapsed="false">
      <c r="A393" s="29" t="n">
        <v>392</v>
      </c>
      <c r="B393" s="29" t="n">
        <f aca="false">INDEX(Sprint_Metrics!$F$7:$F$16,RANDBETWEEN(1,ROWS(Sprint_Metrics!$F$7:$F$16)))</f>
        <v>8</v>
      </c>
      <c r="C393" s="29" t="n">
        <f aca="false">INDEX(Sprint_Metrics!$F$7:$F$16,RANDBETWEEN(1,ROWS(Sprint_Metrics!$F$7:$F$16)))</f>
        <v>11</v>
      </c>
      <c r="D393" s="29" t="n">
        <f aca="false">INDEX(Sprint_Metrics!$F$7:$F$16,RANDBETWEEN(1,ROWS(Sprint_Metrics!$F$7:$F$16)))</f>
        <v>7</v>
      </c>
      <c r="E393" s="29" t="n">
        <f aca="false">INDEX(Sprint_Metrics!$F$7:$F$16,RANDBETWEEN(1,ROWS(Sprint_Metrics!$F$7:$F$16)))</f>
        <v>11</v>
      </c>
      <c r="F393" s="29" t="n">
        <f aca="false">INDEX(Sprint_Metrics!$F$7:$F$16,RANDBETWEEN(1,ROWS(Sprint_Metrics!$F$7:$F$16)))</f>
        <v>11</v>
      </c>
      <c r="G393" s="29" t="n">
        <f aca="false">INDEX(Sprint_Metrics!$F$7:$F$16,RANDBETWEEN(1,ROWS(Sprint_Metrics!$F$7:$F$16)))</f>
        <v>11</v>
      </c>
      <c r="H393" s="29" t="n">
        <f aca="false">INDEX(Sprint_Metrics!$F$7:$F$16,RANDBETWEEN(1,ROWS(Sprint_Metrics!$F$7:$F$16)))</f>
        <v>8</v>
      </c>
      <c r="I393" s="29" t="n">
        <f aca="false">INDEX(Sprint_Metrics!$F$7:$F$16,RANDBETWEEN(1,ROWS(Sprint_Metrics!$F$7:$F$16)))</f>
        <v>7</v>
      </c>
      <c r="J393" s="29" t="n">
        <f aca="false">B393</f>
        <v>8</v>
      </c>
      <c r="K393" s="29" t="n">
        <f aca="false">J393+C393</f>
        <v>19</v>
      </c>
      <c r="L393" s="29" t="n">
        <f aca="false">K393+D393</f>
        <v>26</v>
      </c>
      <c r="M393" s="29" t="n">
        <f aca="false">L393+E393</f>
        <v>37</v>
      </c>
      <c r="N393" s="29" t="n">
        <f aca="false">M393+F393</f>
        <v>48</v>
      </c>
      <c r="O393" s="29" t="n">
        <f aca="false">N393+G393</f>
        <v>59</v>
      </c>
      <c r="P393" s="29" t="n">
        <f aca="false">O393+H393</f>
        <v>67</v>
      </c>
      <c r="Q393" s="29" t="n">
        <f aca="false">P393+I393</f>
        <v>74</v>
      </c>
    </row>
    <row r="394" customFormat="false" ht="15" hidden="false" customHeight="false" outlineLevel="0" collapsed="false">
      <c r="A394" s="29" t="n">
        <v>393</v>
      </c>
      <c r="B394" s="29" t="n">
        <f aca="false">INDEX(Sprint_Metrics!$F$7:$F$16,RANDBETWEEN(1,ROWS(Sprint_Metrics!$F$7:$F$16)))</f>
        <v>7</v>
      </c>
      <c r="C394" s="29" t="n">
        <f aca="false">INDEX(Sprint_Metrics!$F$7:$F$16,RANDBETWEEN(1,ROWS(Sprint_Metrics!$F$7:$F$16)))</f>
        <v>11</v>
      </c>
      <c r="D394" s="29" t="n">
        <f aca="false">INDEX(Sprint_Metrics!$F$7:$F$16,RANDBETWEEN(1,ROWS(Sprint_Metrics!$F$7:$F$16)))</f>
        <v>9</v>
      </c>
      <c r="E394" s="29" t="n">
        <f aca="false">INDEX(Sprint_Metrics!$F$7:$F$16,RANDBETWEEN(1,ROWS(Sprint_Metrics!$F$7:$F$16)))</f>
        <v>8</v>
      </c>
      <c r="F394" s="29" t="n">
        <f aca="false">INDEX(Sprint_Metrics!$F$7:$F$16,RANDBETWEEN(1,ROWS(Sprint_Metrics!$F$7:$F$16)))</f>
        <v>8</v>
      </c>
      <c r="G394" s="29" t="n">
        <f aca="false">INDEX(Sprint_Metrics!$F$7:$F$16,RANDBETWEEN(1,ROWS(Sprint_Metrics!$F$7:$F$16)))</f>
        <v>9</v>
      </c>
      <c r="H394" s="29" t="n">
        <f aca="false">INDEX(Sprint_Metrics!$F$7:$F$16,RANDBETWEEN(1,ROWS(Sprint_Metrics!$F$7:$F$16)))</f>
        <v>11</v>
      </c>
      <c r="I394" s="29" t="n">
        <f aca="false">INDEX(Sprint_Metrics!$F$7:$F$16,RANDBETWEEN(1,ROWS(Sprint_Metrics!$F$7:$F$16)))</f>
        <v>8</v>
      </c>
      <c r="J394" s="29" t="n">
        <f aca="false">B394</f>
        <v>7</v>
      </c>
      <c r="K394" s="29" t="n">
        <f aca="false">J394+C394</f>
        <v>18</v>
      </c>
      <c r="L394" s="29" t="n">
        <f aca="false">K394+D394</f>
        <v>27</v>
      </c>
      <c r="M394" s="29" t="n">
        <f aca="false">L394+E394</f>
        <v>35</v>
      </c>
      <c r="N394" s="29" t="n">
        <f aca="false">M394+F394</f>
        <v>43</v>
      </c>
      <c r="O394" s="29" t="n">
        <f aca="false">N394+G394</f>
        <v>52</v>
      </c>
      <c r="P394" s="29" t="n">
        <f aca="false">O394+H394</f>
        <v>63</v>
      </c>
      <c r="Q394" s="29" t="n">
        <f aca="false">P394+I394</f>
        <v>71</v>
      </c>
    </row>
    <row r="395" customFormat="false" ht="15" hidden="false" customHeight="false" outlineLevel="0" collapsed="false">
      <c r="A395" s="29" t="n">
        <v>394</v>
      </c>
      <c r="B395" s="29" t="n">
        <f aca="false">INDEX(Sprint_Metrics!$F$7:$F$16,RANDBETWEEN(1,ROWS(Sprint_Metrics!$F$7:$F$16)))</f>
        <v>8</v>
      </c>
      <c r="C395" s="29" t="n">
        <f aca="false">INDEX(Sprint_Metrics!$F$7:$F$16,RANDBETWEEN(1,ROWS(Sprint_Metrics!$F$7:$F$16)))</f>
        <v>9</v>
      </c>
      <c r="D395" s="29" t="n">
        <f aca="false">INDEX(Sprint_Metrics!$F$7:$F$16,RANDBETWEEN(1,ROWS(Sprint_Metrics!$F$7:$F$16)))</f>
        <v>8</v>
      </c>
      <c r="E395" s="29" t="n">
        <f aca="false">INDEX(Sprint_Metrics!$F$7:$F$16,RANDBETWEEN(1,ROWS(Sprint_Metrics!$F$7:$F$16)))</f>
        <v>8</v>
      </c>
      <c r="F395" s="29" t="n">
        <f aca="false">INDEX(Sprint_Metrics!$F$7:$F$16,RANDBETWEEN(1,ROWS(Sprint_Metrics!$F$7:$F$16)))</f>
        <v>7</v>
      </c>
      <c r="G395" s="29" t="n">
        <f aca="false">INDEX(Sprint_Metrics!$F$7:$F$16,RANDBETWEEN(1,ROWS(Sprint_Metrics!$F$7:$F$16)))</f>
        <v>8</v>
      </c>
      <c r="H395" s="29" t="n">
        <f aca="false">INDEX(Sprint_Metrics!$F$7:$F$16,RANDBETWEEN(1,ROWS(Sprint_Metrics!$F$7:$F$16)))</f>
        <v>11</v>
      </c>
      <c r="I395" s="29" t="n">
        <f aca="false">INDEX(Sprint_Metrics!$F$7:$F$16,RANDBETWEEN(1,ROWS(Sprint_Metrics!$F$7:$F$16)))</f>
        <v>9</v>
      </c>
      <c r="J395" s="29" t="n">
        <f aca="false">B395</f>
        <v>8</v>
      </c>
      <c r="K395" s="29" t="n">
        <f aca="false">J395+C395</f>
        <v>17</v>
      </c>
      <c r="L395" s="29" t="n">
        <f aca="false">K395+D395</f>
        <v>25</v>
      </c>
      <c r="M395" s="29" t="n">
        <f aca="false">L395+E395</f>
        <v>33</v>
      </c>
      <c r="N395" s="29" t="n">
        <f aca="false">M395+F395</f>
        <v>40</v>
      </c>
      <c r="O395" s="29" t="n">
        <f aca="false">N395+G395</f>
        <v>48</v>
      </c>
      <c r="P395" s="29" t="n">
        <f aca="false">O395+H395</f>
        <v>59</v>
      </c>
      <c r="Q395" s="29" t="n">
        <f aca="false">P395+I395</f>
        <v>68</v>
      </c>
    </row>
    <row r="396" customFormat="false" ht="15" hidden="false" customHeight="false" outlineLevel="0" collapsed="false">
      <c r="A396" s="29" t="n">
        <v>395</v>
      </c>
      <c r="B396" s="29" t="n">
        <f aca="false">INDEX(Sprint_Metrics!$F$7:$F$16,RANDBETWEEN(1,ROWS(Sprint_Metrics!$F$7:$F$16)))</f>
        <v>9</v>
      </c>
      <c r="C396" s="29" t="n">
        <f aca="false">INDEX(Sprint_Metrics!$F$7:$F$16,RANDBETWEEN(1,ROWS(Sprint_Metrics!$F$7:$F$16)))</f>
        <v>7</v>
      </c>
      <c r="D396" s="29" t="n">
        <f aca="false">INDEX(Sprint_Metrics!$F$7:$F$16,RANDBETWEEN(1,ROWS(Sprint_Metrics!$F$7:$F$16)))</f>
        <v>9</v>
      </c>
      <c r="E396" s="29" t="n">
        <f aca="false">INDEX(Sprint_Metrics!$F$7:$F$16,RANDBETWEEN(1,ROWS(Sprint_Metrics!$F$7:$F$16)))</f>
        <v>12</v>
      </c>
      <c r="F396" s="29" t="n">
        <f aca="false">INDEX(Sprint_Metrics!$F$7:$F$16,RANDBETWEEN(1,ROWS(Sprint_Metrics!$F$7:$F$16)))</f>
        <v>9</v>
      </c>
      <c r="G396" s="29" t="n">
        <f aca="false">INDEX(Sprint_Metrics!$F$7:$F$16,RANDBETWEEN(1,ROWS(Sprint_Metrics!$F$7:$F$16)))</f>
        <v>11</v>
      </c>
      <c r="H396" s="29" t="n">
        <f aca="false">INDEX(Sprint_Metrics!$F$7:$F$16,RANDBETWEEN(1,ROWS(Sprint_Metrics!$F$7:$F$16)))</f>
        <v>7</v>
      </c>
      <c r="I396" s="29" t="n">
        <f aca="false">INDEX(Sprint_Metrics!$F$7:$F$16,RANDBETWEEN(1,ROWS(Sprint_Metrics!$F$7:$F$16)))</f>
        <v>8</v>
      </c>
      <c r="J396" s="29" t="n">
        <f aca="false">B396</f>
        <v>9</v>
      </c>
      <c r="K396" s="29" t="n">
        <f aca="false">J396+C396</f>
        <v>16</v>
      </c>
      <c r="L396" s="29" t="n">
        <f aca="false">K396+D396</f>
        <v>25</v>
      </c>
      <c r="M396" s="29" t="n">
        <f aca="false">L396+E396</f>
        <v>37</v>
      </c>
      <c r="N396" s="29" t="n">
        <f aca="false">M396+F396</f>
        <v>46</v>
      </c>
      <c r="O396" s="29" t="n">
        <f aca="false">N396+G396</f>
        <v>57</v>
      </c>
      <c r="P396" s="29" t="n">
        <f aca="false">O396+H396</f>
        <v>64</v>
      </c>
      <c r="Q396" s="29" t="n">
        <f aca="false">P396+I396</f>
        <v>72</v>
      </c>
    </row>
    <row r="397" customFormat="false" ht="15" hidden="false" customHeight="false" outlineLevel="0" collapsed="false">
      <c r="A397" s="29" t="n">
        <v>396</v>
      </c>
      <c r="B397" s="29" t="n">
        <f aca="false">INDEX(Sprint_Metrics!$F$7:$F$16,RANDBETWEEN(1,ROWS(Sprint_Metrics!$F$7:$F$16)))</f>
        <v>9</v>
      </c>
      <c r="C397" s="29" t="n">
        <f aca="false">INDEX(Sprint_Metrics!$F$7:$F$16,RANDBETWEEN(1,ROWS(Sprint_Metrics!$F$7:$F$16)))</f>
        <v>7</v>
      </c>
      <c r="D397" s="29" t="n">
        <f aca="false">INDEX(Sprint_Metrics!$F$7:$F$16,RANDBETWEEN(1,ROWS(Sprint_Metrics!$F$7:$F$16)))</f>
        <v>7</v>
      </c>
      <c r="E397" s="29" t="n">
        <f aca="false">INDEX(Sprint_Metrics!$F$7:$F$16,RANDBETWEEN(1,ROWS(Sprint_Metrics!$F$7:$F$16)))</f>
        <v>9</v>
      </c>
      <c r="F397" s="29" t="n">
        <f aca="false">INDEX(Sprint_Metrics!$F$7:$F$16,RANDBETWEEN(1,ROWS(Sprint_Metrics!$F$7:$F$16)))</f>
        <v>7</v>
      </c>
      <c r="G397" s="29" t="n">
        <f aca="false">INDEX(Sprint_Metrics!$F$7:$F$16,RANDBETWEEN(1,ROWS(Sprint_Metrics!$F$7:$F$16)))</f>
        <v>11</v>
      </c>
      <c r="H397" s="29" t="n">
        <f aca="false">INDEX(Sprint_Metrics!$F$7:$F$16,RANDBETWEEN(1,ROWS(Sprint_Metrics!$F$7:$F$16)))</f>
        <v>8</v>
      </c>
      <c r="I397" s="29" t="n">
        <f aca="false">INDEX(Sprint_Metrics!$F$7:$F$16,RANDBETWEEN(1,ROWS(Sprint_Metrics!$F$7:$F$16)))</f>
        <v>12</v>
      </c>
      <c r="J397" s="29" t="n">
        <f aca="false">B397</f>
        <v>9</v>
      </c>
      <c r="K397" s="29" t="n">
        <f aca="false">J397+C397</f>
        <v>16</v>
      </c>
      <c r="L397" s="29" t="n">
        <f aca="false">K397+D397</f>
        <v>23</v>
      </c>
      <c r="M397" s="29" t="n">
        <f aca="false">L397+E397</f>
        <v>32</v>
      </c>
      <c r="N397" s="29" t="n">
        <f aca="false">M397+F397</f>
        <v>39</v>
      </c>
      <c r="O397" s="29" t="n">
        <f aca="false">N397+G397</f>
        <v>50</v>
      </c>
      <c r="P397" s="29" t="n">
        <f aca="false">O397+H397</f>
        <v>58</v>
      </c>
      <c r="Q397" s="29" t="n">
        <f aca="false">P397+I397</f>
        <v>70</v>
      </c>
    </row>
    <row r="398" customFormat="false" ht="15" hidden="false" customHeight="false" outlineLevel="0" collapsed="false">
      <c r="A398" s="29" t="n">
        <v>397</v>
      </c>
      <c r="B398" s="29" t="n">
        <f aca="false">INDEX(Sprint_Metrics!$F$7:$F$16,RANDBETWEEN(1,ROWS(Sprint_Metrics!$F$7:$F$16)))</f>
        <v>8</v>
      </c>
      <c r="C398" s="29" t="n">
        <f aca="false">INDEX(Sprint_Metrics!$F$7:$F$16,RANDBETWEEN(1,ROWS(Sprint_Metrics!$F$7:$F$16)))</f>
        <v>8</v>
      </c>
      <c r="D398" s="29" t="n">
        <f aca="false">INDEX(Sprint_Metrics!$F$7:$F$16,RANDBETWEEN(1,ROWS(Sprint_Metrics!$F$7:$F$16)))</f>
        <v>12</v>
      </c>
      <c r="E398" s="29" t="n">
        <f aca="false">INDEX(Sprint_Metrics!$F$7:$F$16,RANDBETWEEN(1,ROWS(Sprint_Metrics!$F$7:$F$16)))</f>
        <v>8</v>
      </c>
      <c r="F398" s="29" t="n">
        <f aca="false">INDEX(Sprint_Metrics!$F$7:$F$16,RANDBETWEEN(1,ROWS(Sprint_Metrics!$F$7:$F$16)))</f>
        <v>7</v>
      </c>
      <c r="G398" s="29" t="n">
        <f aca="false">INDEX(Sprint_Metrics!$F$7:$F$16,RANDBETWEEN(1,ROWS(Sprint_Metrics!$F$7:$F$16)))</f>
        <v>11</v>
      </c>
      <c r="H398" s="29" t="n">
        <f aca="false">INDEX(Sprint_Metrics!$F$7:$F$16,RANDBETWEEN(1,ROWS(Sprint_Metrics!$F$7:$F$16)))</f>
        <v>9</v>
      </c>
      <c r="I398" s="29" t="n">
        <f aca="false">INDEX(Sprint_Metrics!$F$7:$F$16,RANDBETWEEN(1,ROWS(Sprint_Metrics!$F$7:$F$16)))</f>
        <v>7</v>
      </c>
      <c r="J398" s="29" t="n">
        <f aca="false">B398</f>
        <v>8</v>
      </c>
      <c r="K398" s="29" t="n">
        <f aca="false">J398+C398</f>
        <v>16</v>
      </c>
      <c r="L398" s="29" t="n">
        <f aca="false">K398+D398</f>
        <v>28</v>
      </c>
      <c r="M398" s="29" t="n">
        <f aca="false">L398+E398</f>
        <v>36</v>
      </c>
      <c r="N398" s="29" t="n">
        <f aca="false">M398+F398</f>
        <v>43</v>
      </c>
      <c r="O398" s="29" t="n">
        <f aca="false">N398+G398</f>
        <v>54</v>
      </c>
      <c r="P398" s="29" t="n">
        <f aca="false">O398+H398</f>
        <v>63</v>
      </c>
      <c r="Q398" s="29" t="n">
        <f aca="false">P398+I398</f>
        <v>70</v>
      </c>
    </row>
    <row r="399" customFormat="false" ht="15" hidden="false" customHeight="false" outlineLevel="0" collapsed="false">
      <c r="A399" s="29" t="n">
        <v>398</v>
      </c>
      <c r="B399" s="29" t="n">
        <f aca="false">INDEX(Sprint_Metrics!$F$7:$F$16,RANDBETWEEN(1,ROWS(Sprint_Metrics!$F$7:$F$16)))</f>
        <v>8</v>
      </c>
      <c r="C399" s="29" t="n">
        <f aca="false">INDEX(Sprint_Metrics!$F$7:$F$16,RANDBETWEEN(1,ROWS(Sprint_Metrics!$F$7:$F$16)))</f>
        <v>7</v>
      </c>
      <c r="D399" s="29" t="n">
        <f aca="false">INDEX(Sprint_Metrics!$F$7:$F$16,RANDBETWEEN(1,ROWS(Sprint_Metrics!$F$7:$F$16)))</f>
        <v>7</v>
      </c>
      <c r="E399" s="29" t="n">
        <f aca="false">INDEX(Sprint_Metrics!$F$7:$F$16,RANDBETWEEN(1,ROWS(Sprint_Metrics!$F$7:$F$16)))</f>
        <v>9</v>
      </c>
      <c r="F399" s="29" t="n">
        <f aca="false">INDEX(Sprint_Metrics!$F$7:$F$16,RANDBETWEEN(1,ROWS(Sprint_Metrics!$F$7:$F$16)))</f>
        <v>7</v>
      </c>
      <c r="G399" s="29" t="n">
        <f aca="false">INDEX(Sprint_Metrics!$F$7:$F$16,RANDBETWEEN(1,ROWS(Sprint_Metrics!$F$7:$F$16)))</f>
        <v>9</v>
      </c>
      <c r="H399" s="29" t="n">
        <f aca="false">INDEX(Sprint_Metrics!$F$7:$F$16,RANDBETWEEN(1,ROWS(Sprint_Metrics!$F$7:$F$16)))</f>
        <v>7</v>
      </c>
      <c r="I399" s="29" t="n">
        <f aca="false">INDEX(Sprint_Metrics!$F$7:$F$16,RANDBETWEEN(1,ROWS(Sprint_Metrics!$F$7:$F$16)))</f>
        <v>11</v>
      </c>
      <c r="J399" s="29" t="n">
        <f aca="false">B399</f>
        <v>8</v>
      </c>
      <c r="K399" s="29" t="n">
        <f aca="false">J399+C399</f>
        <v>15</v>
      </c>
      <c r="L399" s="29" t="n">
        <f aca="false">K399+D399</f>
        <v>22</v>
      </c>
      <c r="M399" s="29" t="n">
        <f aca="false">L399+E399</f>
        <v>31</v>
      </c>
      <c r="N399" s="29" t="n">
        <f aca="false">M399+F399</f>
        <v>38</v>
      </c>
      <c r="O399" s="29" t="n">
        <f aca="false">N399+G399</f>
        <v>47</v>
      </c>
      <c r="P399" s="29" t="n">
        <f aca="false">O399+H399</f>
        <v>54</v>
      </c>
      <c r="Q399" s="29" t="n">
        <f aca="false">P399+I399</f>
        <v>65</v>
      </c>
    </row>
    <row r="400" customFormat="false" ht="15" hidden="false" customHeight="false" outlineLevel="0" collapsed="false">
      <c r="A400" s="29" t="n">
        <v>399</v>
      </c>
      <c r="B400" s="29" t="n">
        <f aca="false">INDEX(Sprint_Metrics!$F$7:$F$16,RANDBETWEEN(1,ROWS(Sprint_Metrics!$F$7:$F$16)))</f>
        <v>12</v>
      </c>
      <c r="C400" s="29" t="n">
        <f aca="false">INDEX(Sprint_Metrics!$F$7:$F$16,RANDBETWEEN(1,ROWS(Sprint_Metrics!$F$7:$F$16)))</f>
        <v>11</v>
      </c>
      <c r="D400" s="29" t="n">
        <f aca="false">INDEX(Sprint_Metrics!$F$7:$F$16,RANDBETWEEN(1,ROWS(Sprint_Metrics!$F$7:$F$16)))</f>
        <v>12</v>
      </c>
      <c r="E400" s="29" t="n">
        <f aca="false">INDEX(Sprint_Metrics!$F$7:$F$16,RANDBETWEEN(1,ROWS(Sprint_Metrics!$F$7:$F$16)))</f>
        <v>9</v>
      </c>
      <c r="F400" s="29" t="n">
        <f aca="false">INDEX(Sprint_Metrics!$F$7:$F$16,RANDBETWEEN(1,ROWS(Sprint_Metrics!$F$7:$F$16)))</f>
        <v>7</v>
      </c>
      <c r="G400" s="29" t="n">
        <f aca="false">INDEX(Sprint_Metrics!$F$7:$F$16,RANDBETWEEN(1,ROWS(Sprint_Metrics!$F$7:$F$16)))</f>
        <v>11</v>
      </c>
      <c r="H400" s="29" t="n">
        <f aca="false">INDEX(Sprint_Metrics!$F$7:$F$16,RANDBETWEEN(1,ROWS(Sprint_Metrics!$F$7:$F$16)))</f>
        <v>8</v>
      </c>
      <c r="I400" s="29" t="n">
        <f aca="false">INDEX(Sprint_Metrics!$F$7:$F$16,RANDBETWEEN(1,ROWS(Sprint_Metrics!$F$7:$F$16)))</f>
        <v>7</v>
      </c>
      <c r="J400" s="29" t="n">
        <f aca="false">B400</f>
        <v>12</v>
      </c>
      <c r="K400" s="29" t="n">
        <f aca="false">J400+C400</f>
        <v>23</v>
      </c>
      <c r="L400" s="29" t="n">
        <f aca="false">K400+D400</f>
        <v>35</v>
      </c>
      <c r="M400" s="29" t="n">
        <f aca="false">L400+E400</f>
        <v>44</v>
      </c>
      <c r="N400" s="29" t="n">
        <f aca="false">M400+F400</f>
        <v>51</v>
      </c>
      <c r="O400" s="29" t="n">
        <f aca="false">N400+G400</f>
        <v>62</v>
      </c>
      <c r="P400" s="29" t="n">
        <f aca="false">O400+H400</f>
        <v>70</v>
      </c>
      <c r="Q400" s="29" t="n">
        <f aca="false">P400+I400</f>
        <v>77</v>
      </c>
    </row>
    <row r="401" customFormat="false" ht="15" hidden="false" customHeight="false" outlineLevel="0" collapsed="false">
      <c r="A401" s="29" t="n">
        <v>400</v>
      </c>
      <c r="B401" s="29" t="n">
        <f aca="false">INDEX(Sprint_Metrics!$F$7:$F$16,RANDBETWEEN(1,ROWS(Sprint_Metrics!$F$7:$F$16)))</f>
        <v>7</v>
      </c>
      <c r="C401" s="29" t="n">
        <f aca="false">INDEX(Sprint_Metrics!$F$7:$F$16,RANDBETWEEN(1,ROWS(Sprint_Metrics!$F$7:$F$16)))</f>
        <v>7</v>
      </c>
      <c r="D401" s="29" t="n">
        <f aca="false">INDEX(Sprint_Metrics!$F$7:$F$16,RANDBETWEEN(1,ROWS(Sprint_Metrics!$F$7:$F$16)))</f>
        <v>8</v>
      </c>
      <c r="E401" s="29" t="n">
        <f aca="false">INDEX(Sprint_Metrics!$F$7:$F$16,RANDBETWEEN(1,ROWS(Sprint_Metrics!$F$7:$F$16)))</f>
        <v>7</v>
      </c>
      <c r="F401" s="29" t="n">
        <f aca="false">INDEX(Sprint_Metrics!$F$7:$F$16,RANDBETWEEN(1,ROWS(Sprint_Metrics!$F$7:$F$16)))</f>
        <v>8</v>
      </c>
      <c r="G401" s="29" t="n">
        <f aca="false">INDEX(Sprint_Metrics!$F$7:$F$16,RANDBETWEEN(1,ROWS(Sprint_Metrics!$F$7:$F$16)))</f>
        <v>8</v>
      </c>
      <c r="H401" s="29" t="n">
        <f aca="false">INDEX(Sprint_Metrics!$F$7:$F$16,RANDBETWEEN(1,ROWS(Sprint_Metrics!$F$7:$F$16)))</f>
        <v>11</v>
      </c>
      <c r="I401" s="29" t="n">
        <f aca="false">INDEX(Sprint_Metrics!$F$7:$F$16,RANDBETWEEN(1,ROWS(Sprint_Metrics!$F$7:$F$16)))</f>
        <v>7</v>
      </c>
      <c r="J401" s="29" t="n">
        <f aca="false">B401</f>
        <v>7</v>
      </c>
      <c r="K401" s="29" t="n">
        <f aca="false">J401+C401</f>
        <v>14</v>
      </c>
      <c r="L401" s="29" t="n">
        <f aca="false">K401+D401</f>
        <v>22</v>
      </c>
      <c r="M401" s="29" t="n">
        <f aca="false">L401+E401</f>
        <v>29</v>
      </c>
      <c r="N401" s="29" t="n">
        <f aca="false">M401+F401</f>
        <v>37</v>
      </c>
      <c r="O401" s="29" t="n">
        <f aca="false">N401+G401</f>
        <v>45</v>
      </c>
      <c r="P401" s="29" t="n">
        <f aca="false">O401+H401</f>
        <v>56</v>
      </c>
      <c r="Q401" s="29" t="n">
        <f aca="false">P401+I401</f>
        <v>63</v>
      </c>
    </row>
    <row r="402" customFormat="false" ht="15" hidden="false" customHeight="false" outlineLevel="0" collapsed="false">
      <c r="A402" s="29" t="n">
        <v>401</v>
      </c>
      <c r="B402" s="29" t="n">
        <f aca="false">INDEX(Sprint_Metrics!$F$7:$F$16,RANDBETWEEN(1,ROWS(Sprint_Metrics!$F$7:$F$16)))</f>
        <v>8</v>
      </c>
      <c r="C402" s="29" t="n">
        <f aca="false">INDEX(Sprint_Metrics!$F$7:$F$16,RANDBETWEEN(1,ROWS(Sprint_Metrics!$F$7:$F$16)))</f>
        <v>8</v>
      </c>
      <c r="D402" s="29" t="n">
        <f aca="false">INDEX(Sprint_Metrics!$F$7:$F$16,RANDBETWEEN(1,ROWS(Sprint_Metrics!$F$7:$F$16)))</f>
        <v>9</v>
      </c>
      <c r="E402" s="29" t="n">
        <f aca="false">INDEX(Sprint_Metrics!$F$7:$F$16,RANDBETWEEN(1,ROWS(Sprint_Metrics!$F$7:$F$16)))</f>
        <v>7</v>
      </c>
      <c r="F402" s="29" t="n">
        <f aca="false">INDEX(Sprint_Metrics!$F$7:$F$16,RANDBETWEEN(1,ROWS(Sprint_Metrics!$F$7:$F$16)))</f>
        <v>8</v>
      </c>
      <c r="G402" s="29" t="n">
        <f aca="false">INDEX(Sprint_Metrics!$F$7:$F$16,RANDBETWEEN(1,ROWS(Sprint_Metrics!$F$7:$F$16)))</f>
        <v>7</v>
      </c>
      <c r="H402" s="29" t="n">
        <f aca="false">INDEX(Sprint_Metrics!$F$7:$F$16,RANDBETWEEN(1,ROWS(Sprint_Metrics!$F$7:$F$16)))</f>
        <v>9</v>
      </c>
      <c r="I402" s="29" t="n">
        <f aca="false">INDEX(Sprint_Metrics!$F$7:$F$16,RANDBETWEEN(1,ROWS(Sprint_Metrics!$F$7:$F$16)))</f>
        <v>9</v>
      </c>
      <c r="J402" s="29" t="n">
        <f aca="false">B402</f>
        <v>8</v>
      </c>
      <c r="K402" s="29" t="n">
        <f aca="false">J402+C402</f>
        <v>16</v>
      </c>
      <c r="L402" s="29" t="n">
        <f aca="false">K402+D402</f>
        <v>25</v>
      </c>
      <c r="M402" s="29" t="n">
        <f aca="false">L402+E402</f>
        <v>32</v>
      </c>
      <c r="N402" s="29" t="n">
        <f aca="false">M402+F402</f>
        <v>40</v>
      </c>
      <c r="O402" s="29" t="n">
        <f aca="false">N402+G402</f>
        <v>47</v>
      </c>
      <c r="P402" s="29" t="n">
        <f aca="false">O402+H402</f>
        <v>56</v>
      </c>
      <c r="Q402" s="29" t="n">
        <f aca="false">P402+I402</f>
        <v>65</v>
      </c>
    </row>
    <row r="403" customFormat="false" ht="15" hidden="false" customHeight="false" outlineLevel="0" collapsed="false">
      <c r="A403" s="29" t="n">
        <v>402</v>
      </c>
      <c r="B403" s="29" t="n">
        <f aca="false">INDEX(Sprint_Metrics!$F$7:$F$16,RANDBETWEEN(1,ROWS(Sprint_Metrics!$F$7:$F$16)))</f>
        <v>7</v>
      </c>
      <c r="C403" s="29" t="n">
        <f aca="false">INDEX(Sprint_Metrics!$F$7:$F$16,RANDBETWEEN(1,ROWS(Sprint_Metrics!$F$7:$F$16)))</f>
        <v>9</v>
      </c>
      <c r="D403" s="29" t="n">
        <f aca="false">INDEX(Sprint_Metrics!$F$7:$F$16,RANDBETWEEN(1,ROWS(Sprint_Metrics!$F$7:$F$16)))</f>
        <v>7</v>
      </c>
      <c r="E403" s="29" t="n">
        <f aca="false">INDEX(Sprint_Metrics!$F$7:$F$16,RANDBETWEEN(1,ROWS(Sprint_Metrics!$F$7:$F$16)))</f>
        <v>8</v>
      </c>
      <c r="F403" s="29" t="n">
        <f aca="false">INDEX(Sprint_Metrics!$F$7:$F$16,RANDBETWEEN(1,ROWS(Sprint_Metrics!$F$7:$F$16)))</f>
        <v>11</v>
      </c>
      <c r="G403" s="29" t="n">
        <f aca="false">INDEX(Sprint_Metrics!$F$7:$F$16,RANDBETWEEN(1,ROWS(Sprint_Metrics!$F$7:$F$16)))</f>
        <v>9</v>
      </c>
      <c r="H403" s="29" t="n">
        <f aca="false">INDEX(Sprint_Metrics!$F$7:$F$16,RANDBETWEEN(1,ROWS(Sprint_Metrics!$F$7:$F$16)))</f>
        <v>11</v>
      </c>
      <c r="I403" s="29" t="n">
        <f aca="false">INDEX(Sprint_Metrics!$F$7:$F$16,RANDBETWEEN(1,ROWS(Sprint_Metrics!$F$7:$F$16)))</f>
        <v>8</v>
      </c>
      <c r="J403" s="29" t="n">
        <f aca="false">B403</f>
        <v>7</v>
      </c>
      <c r="K403" s="29" t="n">
        <f aca="false">J403+C403</f>
        <v>16</v>
      </c>
      <c r="L403" s="29" t="n">
        <f aca="false">K403+D403</f>
        <v>23</v>
      </c>
      <c r="M403" s="29" t="n">
        <f aca="false">L403+E403</f>
        <v>31</v>
      </c>
      <c r="N403" s="29" t="n">
        <f aca="false">M403+F403</f>
        <v>42</v>
      </c>
      <c r="O403" s="29" t="n">
        <f aca="false">N403+G403</f>
        <v>51</v>
      </c>
      <c r="P403" s="29" t="n">
        <f aca="false">O403+H403</f>
        <v>62</v>
      </c>
      <c r="Q403" s="29" t="n">
        <f aca="false">P403+I403</f>
        <v>70</v>
      </c>
    </row>
    <row r="404" customFormat="false" ht="15" hidden="false" customHeight="false" outlineLevel="0" collapsed="false">
      <c r="A404" s="29" t="n">
        <v>403</v>
      </c>
      <c r="B404" s="29" t="n">
        <f aca="false">INDEX(Sprint_Metrics!$F$7:$F$16,RANDBETWEEN(1,ROWS(Sprint_Metrics!$F$7:$F$16)))</f>
        <v>7</v>
      </c>
      <c r="C404" s="29" t="n">
        <f aca="false">INDEX(Sprint_Metrics!$F$7:$F$16,RANDBETWEEN(1,ROWS(Sprint_Metrics!$F$7:$F$16)))</f>
        <v>8</v>
      </c>
      <c r="D404" s="29" t="n">
        <f aca="false">INDEX(Sprint_Metrics!$F$7:$F$16,RANDBETWEEN(1,ROWS(Sprint_Metrics!$F$7:$F$16)))</f>
        <v>7</v>
      </c>
      <c r="E404" s="29" t="n">
        <f aca="false">INDEX(Sprint_Metrics!$F$7:$F$16,RANDBETWEEN(1,ROWS(Sprint_Metrics!$F$7:$F$16)))</f>
        <v>8</v>
      </c>
      <c r="F404" s="29" t="n">
        <f aca="false">INDEX(Sprint_Metrics!$F$7:$F$16,RANDBETWEEN(1,ROWS(Sprint_Metrics!$F$7:$F$16)))</f>
        <v>8</v>
      </c>
      <c r="G404" s="29" t="n">
        <f aca="false">INDEX(Sprint_Metrics!$F$7:$F$16,RANDBETWEEN(1,ROWS(Sprint_Metrics!$F$7:$F$16)))</f>
        <v>8</v>
      </c>
      <c r="H404" s="29" t="n">
        <f aca="false">INDEX(Sprint_Metrics!$F$7:$F$16,RANDBETWEEN(1,ROWS(Sprint_Metrics!$F$7:$F$16)))</f>
        <v>12</v>
      </c>
      <c r="I404" s="29" t="n">
        <f aca="false">INDEX(Sprint_Metrics!$F$7:$F$16,RANDBETWEEN(1,ROWS(Sprint_Metrics!$F$7:$F$16)))</f>
        <v>8</v>
      </c>
      <c r="J404" s="29" t="n">
        <f aca="false">B404</f>
        <v>7</v>
      </c>
      <c r="K404" s="29" t="n">
        <f aca="false">J404+C404</f>
        <v>15</v>
      </c>
      <c r="L404" s="29" t="n">
        <f aca="false">K404+D404</f>
        <v>22</v>
      </c>
      <c r="M404" s="29" t="n">
        <f aca="false">L404+E404</f>
        <v>30</v>
      </c>
      <c r="N404" s="29" t="n">
        <f aca="false">M404+F404</f>
        <v>38</v>
      </c>
      <c r="O404" s="29" t="n">
        <f aca="false">N404+G404</f>
        <v>46</v>
      </c>
      <c r="P404" s="29" t="n">
        <f aca="false">O404+H404</f>
        <v>58</v>
      </c>
      <c r="Q404" s="29" t="n">
        <f aca="false">P404+I404</f>
        <v>66</v>
      </c>
    </row>
    <row r="405" customFormat="false" ht="15" hidden="false" customHeight="false" outlineLevel="0" collapsed="false">
      <c r="A405" s="29" t="n">
        <v>404</v>
      </c>
      <c r="B405" s="29" t="n">
        <f aca="false">INDEX(Sprint_Metrics!$F$7:$F$16,RANDBETWEEN(1,ROWS(Sprint_Metrics!$F$7:$F$16)))</f>
        <v>12</v>
      </c>
      <c r="C405" s="29" t="n">
        <f aca="false">INDEX(Sprint_Metrics!$F$7:$F$16,RANDBETWEEN(1,ROWS(Sprint_Metrics!$F$7:$F$16)))</f>
        <v>8</v>
      </c>
      <c r="D405" s="29" t="n">
        <f aca="false">INDEX(Sprint_Metrics!$F$7:$F$16,RANDBETWEEN(1,ROWS(Sprint_Metrics!$F$7:$F$16)))</f>
        <v>7</v>
      </c>
      <c r="E405" s="29" t="n">
        <f aca="false">INDEX(Sprint_Metrics!$F$7:$F$16,RANDBETWEEN(1,ROWS(Sprint_Metrics!$F$7:$F$16)))</f>
        <v>8</v>
      </c>
      <c r="F405" s="29" t="n">
        <f aca="false">INDEX(Sprint_Metrics!$F$7:$F$16,RANDBETWEEN(1,ROWS(Sprint_Metrics!$F$7:$F$16)))</f>
        <v>11</v>
      </c>
      <c r="G405" s="29" t="n">
        <f aca="false">INDEX(Sprint_Metrics!$F$7:$F$16,RANDBETWEEN(1,ROWS(Sprint_Metrics!$F$7:$F$16)))</f>
        <v>8</v>
      </c>
      <c r="H405" s="29" t="n">
        <f aca="false">INDEX(Sprint_Metrics!$F$7:$F$16,RANDBETWEEN(1,ROWS(Sprint_Metrics!$F$7:$F$16)))</f>
        <v>8</v>
      </c>
      <c r="I405" s="29" t="n">
        <f aca="false">INDEX(Sprint_Metrics!$F$7:$F$16,RANDBETWEEN(1,ROWS(Sprint_Metrics!$F$7:$F$16)))</f>
        <v>8</v>
      </c>
      <c r="J405" s="29" t="n">
        <f aca="false">B405</f>
        <v>12</v>
      </c>
      <c r="K405" s="29" t="n">
        <f aca="false">J405+C405</f>
        <v>20</v>
      </c>
      <c r="L405" s="29" t="n">
        <f aca="false">K405+D405</f>
        <v>27</v>
      </c>
      <c r="M405" s="29" t="n">
        <f aca="false">L405+E405</f>
        <v>35</v>
      </c>
      <c r="N405" s="29" t="n">
        <f aca="false">M405+F405</f>
        <v>46</v>
      </c>
      <c r="O405" s="29" t="n">
        <f aca="false">N405+G405</f>
        <v>54</v>
      </c>
      <c r="P405" s="29" t="n">
        <f aca="false">O405+H405</f>
        <v>62</v>
      </c>
      <c r="Q405" s="29" t="n">
        <f aca="false">P405+I405</f>
        <v>70</v>
      </c>
    </row>
    <row r="406" customFormat="false" ht="15" hidden="false" customHeight="false" outlineLevel="0" collapsed="false">
      <c r="A406" s="29" t="n">
        <v>405</v>
      </c>
      <c r="B406" s="29" t="n">
        <f aca="false">INDEX(Sprint_Metrics!$F$7:$F$16,RANDBETWEEN(1,ROWS(Sprint_Metrics!$F$7:$F$16)))</f>
        <v>8</v>
      </c>
      <c r="C406" s="29" t="n">
        <f aca="false">INDEX(Sprint_Metrics!$F$7:$F$16,RANDBETWEEN(1,ROWS(Sprint_Metrics!$F$7:$F$16)))</f>
        <v>8</v>
      </c>
      <c r="D406" s="29" t="n">
        <f aca="false">INDEX(Sprint_Metrics!$F$7:$F$16,RANDBETWEEN(1,ROWS(Sprint_Metrics!$F$7:$F$16)))</f>
        <v>8</v>
      </c>
      <c r="E406" s="29" t="n">
        <f aca="false">INDEX(Sprint_Metrics!$F$7:$F$16,RANDBETWEEN(1,ROWS(Sprint_Metrics!$F$7:$F$16)))</f>
        <v>7</v>
      </c>
      <c r="F406" s="29" t="n">
        <f aca="false">INDEX(Sprint_Metrics!$F$7:$F$16,RANDBETWEEN(1,ROWS(Sprint_Metrics!$F$7:$F$16)))</f>
        <v>8</v>
      </c>
      <c r="G406" s="29" t="n">
        <f aca="false">INDEX(Sprint_Metrics!$F$7:$F$16,RANDBETWEEN(1,ROWS(Sprint_Metrics!$F$7:$F$16)))</f>
        <v>7</v>
      </c>
      <c r="H406" s="29" t="n">
        <f aca="false">INDEX(Sprint_Metrics!$F$7:$F$16,RANDBETWEEN(1,ROWS(Sprint_Metrics!$F$7:$F$16)))</f>
        <v>7</v>
      </c>
      <c r="I406" s="29" t="n">
        <f aca="false">INDEX(Sprint_Metrics!$F$7:$F$16,RANDBETWEEN(1,ROWS(Sprint_Metrics!$F$7:$F$16)))</f>
        <v>11</v>
      </c>
      <c r="J406" s="29" t="n">
        <f aca="false">B406</f>
        <v>8</v>
      </c>
      <c r="K406" s="29" t="n">
        <f aca="false">J406+C406</f>
        <v>16</v>
      </c>
      <c r="L406" s="29" t="n">
        <f aca="false">K406+D406</f>
        <v>24</v>
      </c>
      <c r="M406" s="29" t="n">
        <f aca="false">L406+E406</f>
        <v>31</v>
      </c>
      <c r="N406" s="29" t="n">
        <f aca="false">M406+F406</f>
        <v>39</v>
      </c>
      <c r="O406" s="29" t="n">
        <f aca="false">N406+G406</f>
        <v>46</v>
      </c>
      <c r="P406" s="29" t="n">
        <f aca="false">O406+H406</f>
        <v>53</v>
      </c>
      <c r="Q406" s="29" t="n">
        <f aca="false">P406+I406</f>
        <v>64</v>
      </c>
    </row>
    <row r="407" customFormat="false" ht="15" hidden="false" customHeight="false" outlineLevel="0" collapsed="false">
      <c r="A407" s="29" t="n">
        <v>406</v>
      </c>
      <c r="B407" s="29" t="n">
        <f aca="false">INDEX(Sprint_Metrics!$F$7:$F$16,RANDBETWEEN(1,ROWS(Sprint_Metrics!$F$7:$F$16)))</f>
        <v>9</v>
      </c>
      <c r="C407" s="29" t="n">
        <f aca="false">INDEX(Sprint_Metrics!$F$7:$F$16,RANDBETWEEN(1,ROWS(Sprint_Metrics!$F$7:$F$16)))</f>
        <v>8</v>
      </c>
      <c r="D407" s="29" t="n">
        <f aca="false">INDEX(Sprint_Metrics!$F$7:$F$16,RANDBETWEEN(1,ROWS(Sprint_Metrics!$F$7:$F$16)))</f>
        <v>8</v>
      </c>
      <c r="E407" s="29" t="n">
        <f aca="false">INDEX(Sprint_Metrics!$F$7:$F$16,RANDBETWEEN(1,ROWS(Sprint_Metrics!$F$7:$F$16)))</f>
        <v>8</v>
      </c>
      <c r="F407" s="29" t="n">
        <f aca="false">INDEX(Sprint_Metrics!$F$7:$F$16,RANDBETWEEN(1,ROWS(Sprint_Metrics!$F$7:$F$16)))</f>
        <v>12</v>
      </c>
      <c r="G407" s="29" t="n">
        <f aca="false">INDEX(Sprint_Metrics!$F$7:$F$16,RANDBETWEEN(1,ROWS(Sprint_Metrics!$F$7:$F$16)))</f>
        <v>9</v>
      </c>
      <c r="H407" s="29" t="n">
        <f aca="false">INDEX(Sprint_Metrics!$F$7:$F$16,RANDBETWEEN(1,ROWS(Sprint_Metrics!$F$7:$F$16)))</f>
        <v>8</v>
      </c>
      <c r="I407" s="29" t="n">
        <f aca="false">INDEX(Sprint_Metrics!$F$7:$F$16,RANDBETWEEN(1,ROWS(Sprint_Metrics!$F$7:$F$16)))</f>
        <v>8</v>
      </c>
      <c r="J407" s="29" t="n">
        <f aca="false">B407</f>
        <v>9</v>
      </c>
      <c r="K407" s="29" t="n">
        <f aca="false">J407+C407</f>
        <v>17</v>
      </c>
      <c r="L407" s="29" t="n">
        <f aca="false">K407+D407</f>
        <v>25</v>
      </c>
      <c r="M407" s="29" t="n">
        <f aca="false">L407+E407</f>
        <v>33</v>
      </c>
      <c r="N407" s="29" t="n">
        <f aca="false">M407+F407</f>
        <v>45</v>
      </c>
      <c r="O407" s="29" t="n">
        <f aca="false">N407+G407</f>
        <v>54</v>
      </c>
      <c r="P407" s="29" t="n">
        <f aca="false">O407+H407</f>
        <v>62</v>
      </c>
      <c r="Q407" s="29" t="n">
        <f aca="false">P407+I407</f>
        <v>70</v>
      </c>
    </row>
    <row r="408" customFormat="false" ht="15" hidden="false" customHeight="false" outlineLevel="0" collapsed="false">
      <c r="A408" s="29" t="n">
        <v>407</v>
      </c>
      <c r="B408" s="29" t="n">
        <f aca="false">INDEX(Sprint_Metrics!$F$7:$F$16,RANDBETWEEN(1,ROWS(Sprint_Metrics!$F$7:$F$16)))</f>
        <v>9</v>
      </c>
      <c r="C408" s="29" t="n">
        <f aca="false">INDEX(Sprint_Metrics!$F$7:$F$16,RANDBETWEEN(1,ROWS(Sprint_Metrics!$F$7:$F$16)))</f>
        <v>8</v>
      </c>
      <c r="D408" s="29" t="n">
        <f aca="false">INDEX(Sprint_Metrics!$F$7:$F$16,RANDBETWEEN(1,ROWS(Sprint_Metrics!$F$7:$F$16)))</f>
        <v>12</v>
      </c>
      <c r="E408" s="29" t="n">
        <f aca="false">INDEX(Sprint_Metrics!$F$7:$F$16,RANDBETWEEN(1,ROWS(Sprint_Metrics!$F$7:$F$16)))</f>
        <v>7</v>
      </c>
      <c r="F408" s="29" t="n">
        <f aca="false">INDEX(Sprint_Metrics!$F$7:$F$16,RANDBETWEEN(1,ROWS(Sprint_Metrics!$F$7:$F$16)))</f>
        <v>12</v>
      </c>
      <c r="G408" s="29" t="n">
        <f aca="false">INDEX(Sprint_Metrics!$F$7:$F$16,RANDBETWEEN(1,ROWS(Sprint_Metrics!$F$7:$F$16)))</f>
        <v>9</v>
      </c>
      <c r="H408" s="29" t="n">
        <f aca="false">INDEX(Sprint_Metrics!$F$7:$F$16,RANDBETWEEN(1,ROWS(Sprint_Metrics!$F$7:$F$16)))</f>
        <v>8</v>
      </c>
      <c r="I408" s="29" t="n">
        <f aca="false">INDEX(Sprint_Metrics!$F$7:$F$16,RANDBETWEEN(1,ROWS(Sprint_Metrics!$F$7:$F$16)))</f>
        <v>8</v>
      </c>
      <c r="J408" s="29" t="n">
        <f aca="false">B408</f>
        <v>9</v>
      </c>
      <c r="K408" s="29" t="n">
        <f aca="false">J408+C408</f>
        <v>17</v>
      </c>
      <c r="L408" s="29" t="n">
        <f aca="false">K408+D408</f>
        <v>29</v>
      </c>
      <c r="M408" s="29" t="n">
        <f aca="false">L408+E408</f>
        <v>36</v>
      </c>
      <c r="N408" s="29" t="n">
        <f aca="false">M408+F408</f>
        <v>48</v>
      </c>
      <c r="O408" s="29" t="n">
        <f aca="false">N408+G408</f>
        <v>57</v>
      </c>
      <c r="P408" s="29" t="n">
        <f aca="false">O408+H408</f>
        <v>65</v>
      </c>
      <c r="Q408" s="29" t="n">
        <f aca="false">P408+I408</f>
        <v>73</v>
      </c>
    </row>
    <row r="409" customFormat="false" ht="15" hidden="false" customHeight="false" outlineLevel="0" collapsed="false">
      <c r="A409" s="29" t="n">
        <v>408</v>
      </c>
      <c r="B409" s="29" t="n">
        <f aca="false">INDEX(Sprint_Metrics!$F$7:$F$16,RANDBETWEEN(1,ROWS(Sprint_Metrics!$F$7:$F$16)))</f>
        <v>11</v>
      </c>
      <c r="C409" s="29" t="n">
        <f aca="false">INDEX(Sprint_Metrics!$F$7:$F$16,RANDBETWEEN(1,ROWS(Sprint_Metrics!$F$7:$F$16)))</f>
        <v>12</v>
      </c>
      <c r="D409" s="29" t="n">
        <f aca="false">INDEX(Sprint_Metrics!$F$7:$F$16,RANDBETWEEN(1,ROWS(Sprint_Metrics!$F$7:$F$16)))</f>
        <v>8</v>
      </c>
      <c r="E409" s="29" t="n">
        <f aca="false">INDEX(Sprint_Metrics!$F$7:$F$16,RANDBETWEEN(1,ROWS(Sprint_Metrics!$F$7:$F$16)))</f>
        <v>8</v>
      </c>
      <c r="F409" s="29" t="n">
        <f aca="false">INDEX(Sprint_Metrics!$F$7:$F$16,RANDBETWEEN(1,ROWS(Sprint_Metrics!$F$7:$F$16)))</f>
        <v>9</v>
      </c>
      <c r="G409" s="29" t="n">
        <f aca="false">INDEX(Sprint_Metrics!$F$7:$F$16,RANDBETWEEN(1,ROWS(Sprint_Metrics!$F$7:$F$16)))</f>
        <v>7</v>
      </c>
      <c r="H409" s="29" t="n">
        <f aca="false">INDEX(Sprint_Metrics!$F$7:$F$16,RANDBETWEEN(1,ROWS(Sprint_Metrics!$F$7:$F$16)))</f>
        <v>8</v>
      </c>
      <c r="I409" s="29" t="n">
        <f aca="false">INDEX(Sprint_Metrics!$F$7:$F$16,RANDBETWEEN(1,ROWS(Sprint_Metrics!$F$7:$F$16)))</f>
        <v>12</v>
      </c>
      <c r="J409" s="29" t="n">
        <f aca="false">B409</f>
        <v>11</v>
      </c>
      <c r="K409" s="29" t="n">
        <f aca="false">J409+C409</f>
        <v>23</v>
      </c>
      <c r="L409" s="29" t="n">
        <f aca="false">K409+D409</f>
        <v>31</v>
      </c>
      <c r="M409" s="29" t="n">
        <f aca="false">L409+E409</f>
        <v>39</v>
      </c>
      <c r="N409" s="29" t="n">
        <f aca="false">M409+F409</f>
        <v>48</v>
      </c>
      <c r="O409" s="29" t="n">
        <f aca="false">N409+G409</f>
        <v>55</v>
      </c>
      <c r="P409" s="29" t="n">
        <f aca="false">O409+H409</f>
        <v>63</v>
      </c>
      <c r="Q409" s="29" t="n">
        <f aca="false">P409+I409</f>
        <v>75</v>
      </c>
    </row>
    <row r="410" customFormat="false" ht="15" hidden="false" customHeight="false" outlineLevel="0" collapsed="false">
      <c r="A410" s="29" t="n">
        <v>409</v>
      </c>
      <c r="B410" s="29" t="n">
        <f aca="false">INDEX(Sprint_Metrics!$F$7:$F$16,RANDBETWEEN(1,ROWS(Sprint_Metrics!$F$7:$F$16)))</f>
        <v>8</v>
      </c>
      <c r="C410" s="29" t="n">
        <f aca="false">INDEX(Sprint_Metrics!$F$7:$F$16,RANDBETWEEN(1,ROWS(Sprint_Metrics!$F$7:$F$16)))</f>
        <v>9</v>
      </c>
      <c r="D410" s="29" t="n">
        <f aca="false">INDEX(Sprint_Metrics!$F$7:$F$16,RANDBETWEEN(1,ROWS(Sprint_Metrics!$F$7:$F$16)))</f>
        <v>11</v>
      </c>
      <c r="E410" s="29" t="n">
        <f aca="false">INDEX(Sprint_Metrics!$F$7:$F$16,RANDBETWEEN(1,ROWS(Sprint_Metrics!$F$7:$F$16)))</f>
        <v>8</v>
      </c>
      <c r="F410" s="29" t="n">
        <f aca="false">INDEX(Sprint_Metrics!$F$7:$F$16,RANDBETWEEN(1,ROWS(Sprint_Metrics!$F$7:$F$16)))</f>
        <v>7</v>
      </c>
      <c r="G410" s="29" t="n">
        <f aca="false">INDEX(Sprint_Metrics!$F$7:$F$16,RANDBETWEEN(1,ROWS(Sprint_Metrics!$F$7:$F$16)))</f>
        <v>11</v>
      </c>
      <c r="H410" s="29" t="n">
        <f aca="false">INDEX(Sprint_Metrics!$F$7:$F$16,RANDBETWEEN(1,ROWS(Sprint_Metrics!$F$7:$F$16)))</f>
        <v>9</v>
      </c>
      <c r="I410" s="29" t="n">
        <f aca="false">INDEX(Sprint_Metrics!$F$7:$F$16,RANDBETWEEN(1,ROWS(Sprint_Metrics!$F$7:$F$16)))</f>
        <v>8</v>
      </c>
      <c r="J410" s="29" t="n">
        <f aca="false">B410</f>
        <v>8</v>
      </c>
      <c r="K410" s="29" t="n">
        <f aca="false">J410+C410</f>
        <v>17</v>
      </c>
      <c r="L410" s="29" t="n">
        <f aca="false">K410+D410</f>
        <v>28</v>
      </c>
      <c r="M410" s="29" t="n">
        <f aca="false">L410+E410</f>
        <v>36</v>
      </c>
      <c r="N410" s="29" t="n">
        <f aca="false">M410+F410</f>
        <v>43</v>
      </c>
      <c r="O410" s="29" t="n">
        <f aca="false">N410+G410</f>
        <v>54</v>
      </c>
      <c r="P410" s="29" t="n">
        <f aca="false">O410+H410</f>
        <v>63</v>
      </c>
      <c r="Q410" s="29" t="n">
        <f aca="false">P410+I410</f>
        <v>71</v>
      </c>
    </row>
    <row r="411" customFormat="false" ht="15" hidden="false" customHeight="false" outlineLevel="0" collapsed="false">
      <c r="A411" s="29" t="n">
        <v>410</v>
      </c>
      <c r="B411" s="29" t="n">
        <f aca="false">INDEX(Sprint_Metrics!$F$7:$F$16,RANDBETWEEN(1,ROWS(Sprint_Metrics!$F$7:$F$16)))</f>
        <v>8</v>
      </c>
      <c r="C411" s="29" t="n">
        <f aca="false">INDEX(Sprint_Metrics!$F$7:$F$16,RANDBETWEEN(1,ROWS(Sprint_Metrics!$F$7:$F$16)))</f>
        <v>8</v>
      </c>
      <c r="D411" s="29" t="n">
        <f aca="false">INDEX(Sprint_Metrics!$F$7:$F$16,RANDBETWEEN(1,ROWS(Sprint_Metrics!$F$7:$F$16)))</f>
        <v>12</v>
      </c>
      <c r="E411" s="29" t="n">
        <f aca="false">INDEX(Sprint_Metrics!$F$7:$F$16,RANDBETWEEN(1,ROWS(Sprint_Metrics!$F$7:$F$16)))</f>
        <v>11</v>
      </c>
      <c r="F411" s="29" t="n">
        <f aca="false">INDEX(Sprint_Metrics!$F$7:$F$16,RANDBETWEEN(1,ROWS(Sprint_Metrics!$F$7:$F$16)))</f>
        <v>8</v>
      </c>
      <c r="G411" s="29" t="n">
        <f aca="false">INDEX(Sprint_Metrics!$F$7:$F$16,RANDBETWEEN(1,ROWS(Sprint_Metrics!$F$7:$F$16)))</f>
        <v>12</v>
      </c>
      <c r="H411" s="29" t="n">
        <f aca="false">INDEX(Sprint_Metrics!$F$7:$F$16,RANDBETWEEN(1,ROWS(Sprint_Metrics!$F$7:$F$16)))</f>
        <v>7</v>
      </c>
      <c r="I411" s="29" t="n">
        <f aca="false">INDEX(Sprint_Metrics!$F$7:$F$16,RANDBETWEEN(1,ROWS(Sprint_Metrics!$F$7:$F$16)))</f>
        <v>7</v>
      </c>
      <c r="J411" s="29" t="n">
        <f aca="false">B411</f>
        <v>8</v>
      </c>
      <c r="K411" s="29" t="n">
        <f aca="false">J411+C411</f>
        <v>16</v>
      </c>
      <c r="L411" s="29" t="n">
        <f aca="false">K411+D411</f>
        <v>28</v>
      </c>
      <c r="M411" s="29" t="n">
        <f aca="false">L411+E411</f>
        <v>39</v>
      </c>
      <c r="N411" s="29" t="n">
        <f aca="false">M411+F411</f>
        <v>47</v>
      </c>
      <c r="O411" s="29" t="n">
        <f aca="false">N411+G411</f>
        <v>59</v>
      </c>
      <c r="P411" s="29" t="n">
        <f aca="false">O411+H411</f>
        <v>66</v>
      </c>
      <c r="Q411" s="29" t="n">
        <f aca="false">P411+I411</f>
        <v>73</v>
      </c>
    </row>
    <row r="412" customFormat="false" ht="15" hidden="false" customHeight="false" outlineLevel="0" collapsed="false">
      <c r="A412" s="29" t="n">
        <v>411</v>
      </c>
      <c r="B412" s="29" t="n">
        <f aca="false">INDEX(Sprint_Metrics!$F$7:$F$16,RANDBETWEEN(1,ROWS(Sprint_Metrics!$F$7:$F$16)))</f>
        <v>8</v>
      </c>
      <c r="C412" s="29" t="n">
        <f aca="false">INDEX(Sprint_Metrics!$F$7:$F$16,RANDBETWEEN(1,ROWS(Sprint_Metrics!$F$7:$F$16)))</f>
        <v>9</v>
      </c>
      <c r="D412" s="29" t="n">
        <f aca="false">INDEX(Sprint_Metrics!$F$7:$F$16,RANDBETWEEN(1,ROWS(Sprint_Metrics!$F$7:$F$16)))</f>
        <v>9</v>
      </c>
      <c r="E412" s="29" t="n">
        <f aca="false">INDEX(Sprint_Metrics!$F$7:$F$16,RANDBETWEEN(1,ROWS(Sprint_Metrics!$F$7:$F$16)))</f>
        <v>8</v>
      </c>
      <c r="F412" s="29" t="n">
        <f aca="false">INDEX(Sprint_Metrics!$F$7:$F$16,RANDBETWEEN(1,ROWS(Sprint_Metrics!$F$7:$F$16)))</f>
        <v>8</v>
      </c>
      <c r="G412" s="29" t="n">
        <f aca="false">INDEX(Sprint_Metrics!$F$7:$F$16,RANDBETWEEN(1,ROWS(Sprint_Metrics!$F$7:$F$16)))</f>
        <v>12</v>
      </c>
      <c r="H412" s="29" t="n">
        <f aca="false">INDEX(Sprint_Metrics!$F$7:$F$16,RANDBETWEEN(1,ROWS(Sprint_Metrics!$F$7:$F$16)))</f>
        <v>9</v>
      </c>
      <c r="I412" s="29" t="n">
        <f aca="false">INDEX(Sprint_Metrics!$F$7:$F$16,RANDBETWEEN(1,ROWS(Sprint_Metrics!$F$7:$F$16)))</f>
        <v>9</v>
      </c>
      <c r="J412" s="29" t="n">
        <f aca="false">B412</f>
        <v>8</v>
      </c>
      <c r="K412" s="29" t="n">
        <f aca="false">J412+C412</f>
        <v>17</v>
      </c>
      <c r="L412" s="29" t="n">
        <f aca="false">K412+D412</f>
        <v>26</v>
      </c>
      <c r="M412" s="29" t="n">
        <f aca="false">L412+E412</f>
        <v>34</v>
      </c>
      <c r="N412" s="29" t="n">
        <f aca="false">M412+F412</f>
        <v>42</v>
      </c>
      <c r="O412" s="29" t="n">
        <f aca="false">N412+G412</f>
        <v>54</v>
      </c>
      <c r="P412" s="29" t="n">
        <f aca="false">O412+H412</f>
        <v>63</v>
      </c>
      <c r="Q412" s="29" t="n">
        <f aca="false">P412+I412</f>
        <v>72</v>
      </c>
    </row>
    <row r="413" customFormat="false" ht="15" hidden="false" customHeight="false" outlineLevel="0" collapsed="false">
      <c r="A413" s="29" t="n">
        <v>412</v>
      </c>
      <c r="B413" s="29" t="n">
        <f aca="false">INDEX(Sprint_Metrics!$F$7:$F$16,RANDBETWEEN(1,ROWS(Sprint_Metrics!$F$7:$F$16)))</f>
        <v>9</v>
      </c>
      <c r="C413" s="29" t="n">
        <f aca="false">INDEX(Sprint_Metrics!$F$7:$F$16,RANDBETWEEN(1,ROWS(Sprint_Metrics!$F$7:$F$16)))</f>
        <v>12</v>
      </c>
      <c r="D413" s="29" t="n">
        <f aca="false">INDEX(Sprint_Metrics!$F$7:$F$16,RANDBETWEEN(1,ROWS(Sprint_Metrics!$F$7:$F$16)))</f>
        <v>12</v>
      </c>
      <c r="E413" s="29" t="n">
        <f aca="false">INDEX(Sprint_Metrics!$F$7:$F$16,RANDBETWEEN(1,ROWS(Sprint_Metrics!$F$7:$F$16)))</f>
        <v>7</v>
      </c>
      <c r="F413" s="29" t="n">
        <f aca="false">INDEX(Sprint_Metrics!$F$7:$F$16,RANDBETWEEN(1,ROWS(Sprint_Metrics!$F$7:$F$16)))</f>
        <v>12</v>
      </c>
      <c r="G413" s="29" t="n">
        <f aca="false">INDEX(Sprint_Metrics!$F$7:$F$16,RANDBETWEEN(1,ROWS(Sprint_Metrics!$F$7:$F$16)))</f>
        <v>11</v>
      </c>
      <c r="H413" s="29" t="n">
        <f aca="false">INDEX(Sprint_Metrics!$F$7:$F$16,RANDBETWEEN(1,ROWS(Sprint_Metrics!$F$7:$F$16)))</f>
        <v>8</v>
      </c>
      <c r="I413" s="29" t="n">
        <f aca="false">INDEX(Sprint_Metrics!$F$7:$F$16,RANDBETWEEN(1,ROWS(Sprint_Metrics!$F$7:$F$16)))</f>
        <v>12</v>
      </c>
      <c r="J413" s="29" t="n">
        <f aca="false">B413</f>
        <v>9</v>
      </c>
      <c r="K413" s="29" t="n">
        <f aca="false">J413+C413</f>
        <v>21</v>
      </c>
      <c r="L413" s="29" t="n">
        <f aca="false">K413+D413</f>
        <v>33</v>
      </c>
      <c r="M413" s="29" t="n">
        <f aca="false">L413+E413</f>
        <v>40</v>
      </c>
      <c r="N413" s="29" t="n">
        <f aca="false">M413+F413</f>
        <v>52</v>
      </c>
      <c r="O413" s="29" t="n">
        <f aca="false">N413+G413</f>
        <v>63</v>
      </c>
      <c r="P413" s="29" t="n">
        <f aca="false">O413+H413</f>
        <v>71</v>
      </c>
      <c r="Q413" s="29" t="n">
        <f aca="false">P413+I413</f>
        <v>83</v>
      </c>
    </row>
    <row r="414" customFormat="false" ht="15" hidden="false" customHeight="false" outlineLevel="0" collapsed="false">
      <c r="A414" s="29" t="n">
        <v>413</v>
      </c>
      <c r="B414" s="29" t="n">
        <f aca="false">INDEX(Sprint_Metrics!$F$7:$F$16,RANDBETWEEN(1,ROWS(Sprint_Metrics!$F$7:$F$16)))</f>
        <v>8</v>
      </c>
      <c r="C414" s="29" t="n">
        <f aca="false">INDEX(Sprint_Metrics!$F$7:$F$16,RANDBETWEEN(1,ROWS(Sprint_Metrics!$F$7:$F$16)))</f>
        <v>8</v>
      </c>
      <c r="D414" s="29" t="n">
        <f aca="false">INDEX(Sprint_Metrics!$F$7:$F$16,RANDBETWEEN(1,ROWS(Sprint_Metrics!$F$7:$F$16)))</f>
        <v>11</v>
      </c>
      <c r="E414" s="29" t="n">
        <f aca="false">INDEX(Sprint_Metrics!$F$7:$F$16,RANDBETWEEN(1,ROWS(Sprint_Metrics!$F$7:$F$16)))</f>
        <v>11</v>
      </c>
      <c r="F414" s="29" t="n">
        <f aca="false">INDEX(Sprint_Metrics!$F$7:$F$16,RANDBETWEEN(1,ROWS(Sprint_Metrics!$F$7:$F$16)))</f>
        <v>11</v>
      </c>
      <c r="G414" s="29" t="n">
        <f aca="false">INDEX(Sprint_Metrics!$F$7:$F$16,RANDBETWEEN(1,ROWS(Sprint_Metrics!$F$7:$F$16)))</f>
        <v>9</v>
      </c>
      <c r="H414" s="29" t="n">
        <f aca="false">INDEX(Sprint_Metrics!$F$7:$F$16,RANDBETWEEN(1,ROWS(Sprint_Metrics!$F$7:$F$16)))</f>
        <v>11</v>
      </c>
      <c r="I414" s="29" t="n">
        <f aca="false">INDEX(Sprint_Metrics!$F$7:$F$16,RANDBETWEEN(1,ROWS(Sprint_Metrics!$F$7:$F$16)))</f>
        <v>11</v>
      </c>
      <c r="J414" s="29" t="n">
        <f aca="false">B414</f>
        <v>8</v>
      </c>
      <c r="K414" s="29" t="n">
        <f aca="false">J414+C414</f>
        <v>16</v>
      </c>
      <c r="L414" s="29" t="n">
        <f aca="false">K414+D414</f>
        <v>27</v>
      </c>
      <c r="M414" s="29" t="n">
        <f aca="false">L414+E414</f>
        <v>38</v>
      </c>
      <c r="N414" s="29" t="n">
        <f aca="false">M414+F414</f>
        <v>49</v>
      </c>
      <c r="O414" s="29" t="n">
        <f aca="false">N414+G414</f>
        <v>58</v>
      </c>
      <c r="P414" s="29" t="n">
        <f aca="false">O414+H414</f>
        <v>69</v>
      </c>
      <c r="Q414" s="29" t="n">
        <f aca="false">P414+I414</f>
        <v>80</v>
      </c>
    </row>
    <row r="415" customFormat="false" ht="15" hidden="false" customHeight="false" outlineLevel="0" collapsed="false">
      <c r="A415" s="29" t="n">
        <v>414</v>
      </c>
      <c r="B415" s="29" t="n">
        <f aca="false">INDEX(Sprint_Metrics!$F$7:$F$16,RANDBETWEEN(1,ROWS(Sprint_Metrics!$F$7:$F$16)))</f>
        <v>9</v>
      </c>
      <c r="C415" s="29" t="n">
        <f aca="false">INDEX(Sprint_Metrics!$F$7:$F$16,RANDBETWEEN(1,ROWS(Sprint_Metrics!$F$7:$F$16)))</f>
        <v>12</v>
      </c>
      <c r="D415" s="29" t="n">
        <f aca="false">INDEX(Sprint_Metrics!$F$7:$F$16,RANDBETWEEN(1,ROWS(Sprint_Metrics!$F$7:$F$16)))</f>
        <v>8</v>
      </c>
      <c r="E415" s="29" t="n">
        <f aca="false">INDEX(Sprint_Metrics!$F$7:$F$16,RANDBETWEEN(1,ROWS(Sprint_Metrics!$F$7:$F$16)))</f>
        <v>8</v>
      </c>
      <c r="F415" s="29" t="n">
        <f aca="false">INDEX(Sprint_Metrics!$F$7:$F$16,RANDBETWEEN(1,ROWS(Sprint_Metrics!$F$7:$F$16)))</f>
        <v>9</v>
      </c>
      <c r="G415" s="29" t="n">
        <f aca="false">INDEX(Sprint_Metrics!$F$7:$F$16,RANDBETWEEN(1,ROWS(Sprint_Metrics!$F$7:$F$16)))</f>
        <v>12</v>
      </c>
      <c r="H415" s="29" t="n">
        <f aca="false">INDEX(Sprint_Metrics!$F$7:$F$16,RANDBETWEEN(1,ROWS(Sprint_Metrics!$F$7:$F$16)))</f>
        <v>8</v>
      </c>
      <c r="I415" s="29" t="n">
        <f aca="false">INDEX(Sprint_Metrics!$F$7:$F$16,RANDBETWEEN(1,ROWS(Sprint_Metrics!$F$7:$F$16)))</f>
        <v>7</v>
      </c>
      <c r="J415" s="29" t="n">
        <f aca="false">B415</f>
        <v>9</v>
      </c>
      <c r="K415" s="29" t="n">
        <f aca="false">J415+C415</f>
        <v>21</v>
      </c>
      <c r="L415" s="29" t="n">
        <f aca="false">K415+D415</f>
        <v>29</v>
      </c>
      <c r="M415" s="29" t="n">
        <f aca="false">L415+E415</f>
        <v>37</v>
      </c>
      <c r="N415" s="29" t="n">
        <f aca="false">M415+F415</f>
        <v>46</v>
      </c>
      <c r="O415" s="29" t="n">
        <f aca="false">N415+G415</f>
        <v>58</v>
      </c>
      <c r="P415" s="29" t="n">
        <f aca="false">O415+H415</f>
        <v>66</v>
      </c>
      <c r="Q415" s="29" t="n">
        <f aca="false">P415+I415</f>
        <v>73</v>
      </c>
    </row>
    <row r="416" customFormat="false" ht="15" hidden="false" customHeight="false" outlineLevel="0" collapsed="false">
      <c r="A416" s="29" t="n">
        <v>415</v>
      </c>
      <c r="B416" s="29" t="n">
        <f aca="false">INDEX(Sprint_Metrics!$F$7:$F$16,RANDBETWEEN(1,ROWS(Sprint_Metrics!$F$7:$F$16)))</f>
        <v>9</v>
      </c>
      <c r="C416" s="29" t="n">
        <f aca="false">INDEX(Sprint_Metrics!$F$7:$F$16,RANDBETWEEN(1,ROWS(Sprint_Metrics!$F$7:$F$16)))</f>
        <v>8</v>
      </c>
      <c r="D416" s="29" t="n">
        <f aca="false">INDEX(Sprint_Metrics!$F$7:$F$16,RANDBETWEEN(1,ROWS(Sprint_Metrics!$F$7:$F$16)))</f>
        <v>11</v>
      </c>
      <c r="E416" s="29" t="n">
        <f aca="false">INDEX(Sprint_Metrics!$F$7:$F$16,RANDBETWEEN(1,ROWS(Sprint_Metrics!$F$7:$F$16)))</f>
        <v>9</v>
      </c>
      <c r="F416" s="29" t="n">
        <f aca="false">INDEX(Sprint_Metrics!$F$7:$F$16,RANDBETWEEN(1,ROWS(Sprint_Metrics!$F$7:$F$16)))</f>
        <v>11</v>
      </c>
      <c r="G416" s="29" t="n">
        <f aca="false">INDEX(Sprint_Metrics!$F$7:$F$16,RANDBETWEEN(1,ROWS(Sprint_Metrics!$F$7:$F$16)))</f>
        <v>12</v>
      </c>
      <c r="H416" s="29" t="n">
        <f aca="false">INDEX(Sprint_Metrics!$F$7:$F$16,RANDBETWEEN(1,ROWS(Sprint_Metrics!$F$7:$F$16)))</f>
        <v>8</v>
      </c>
      <c r="I416" s="29" t="n">
        <f aca="false">INDEX(Sprint_Metrics!$F$7:$F$16,RANDBETWEEN(1,ROWS(Sprint_Metrics!$F$7:$F$16)))</f>
        <v>7</v>
      </c>
      <c r="J416" s="29" t="n">
        <f aca="false">B416</f>
        <v>9</v>
      </c>
      <c r="K416" s="29" t="n">
        <f aca="false">J416+C416</f>
        <v>17</v>
      </c>
      <c r="L416" s="29" t="n">
        <f aca="false">K416+D416</f>
        <v>28</v>
      </c>
      <c r="M416" s="29" t="n">
        <f aca="false">L416+E416</f>
        <v>37</v>
      </c>
      <c r="N416" s="29" t="n">
        <f aca="false">M416+F416</f>
        <v>48</v>
      </c>
      <c r="O416" s="29" t="n">
        <f aca="false">N416+G416</f>
        <v>60</v>
      </c>
      <c r="P416" s="29" t="n">
        <f aca="false">O416+H416</f>
        <v>68</v>
      </c>
      <c r="Q416" s="29" t="n">
        <f aca="false">P416+I416</f>
        <v>75</v>
      </c>
    </row>
    <row r="417" customFormat="false" ht="15" hidden="false" customHeight="false" outlineLevel="0" collapsed="false">
      <c r="A417" s="29" t="n">
        <v>416</v>
      </c>
      <c r="B417" s="29" t="n">
        <f aca="false">INDEX(Sprint_Metrics!$F$7:$F$16,RANDBETWEEN(1,ROWS(Sprint_Metrics!$F$7:$F$16)))</f>
        <v>11</v>
      </c>
      <c r="C417" s="29" t="n">
        <f aca="false">INDEX(Sprint_Metrics!$F$7:$F$16,RANDBETWEEN(1,ROWS(Sprint_Metrics!$F$7:$F$16)))</f>
        <v>11</v>
      </c>
      <c r="D417" s="29" t="n">
        <f aca="false">INDEX(Sprint_Metrics!$F$7:$F$16,RANDBETWEEN(1,ROWS(Sprint_Metrics!$F$7:$F$16)))</f>
        <v>8</v>
      </c>
      <c r="E417" s="29" t="n">
        <f aca="false">INDEX(Sprint_Metrics!$F$7:$F$16,RANDBETWEEN(1,ROWS(Sprint_Metrics!$F$7:$F$16)))</f>
        <v>8</v>
      </c>
      <c r="F417" s="29" t="n">
        <f aca="false">INDEX(Sprint_Metrics!$F$7:$F$16,RANDBETWEEN(1,ROWS(Sprint_Metrics!$F$7:$F$16)))</f>
        <v>11</v>
      </c>
      <c r="G417" s="29" t="n">
        <f aca="false">INDEX(Sprint_Metrics!$F$7:$F$16,RANDBETWEEN(1,ROWS(Sprint_Metrics!$F$7:$F$16)))</f>
        <v>9</v>
      </c>
      <c r="H417" s="29" t="n">
        <f aca="false">INDEX(Sprint_Metrics!$F$7:$F$16,RANDBETWEEN(1,ROWS(Sprint_Metrics!$F$7:$F$16)))</f>
        <v>11</v>
      </c>
      <c r="I417" s="29" t="n">
        <f aca="false">INDEX(Sprint_Metrics!$F$7:$F$16,RANDBETWEEN(1,ROWS(Sprint_Metrics!$F$7:$F$16)))</f>
        <v>12</v>
      </c>
      <c r="J417" s="29" t="n">
        <f aca="false">B417</f>
        <v>11</v>
      </c>
      <c r="K417" s="29" t="n">
        <f aca="false">J417+C417</f>
        <v>22</v>
      </c>
      <c r="L417" s="29" t="n">
        <f aca="false">K417+D417</f>
        <v>30</v>
      </c>
      <c r="M417" s="29" t="n">
        <f aca="false">L417+E417</f>
        <v>38</v>
      </c>
      <c r="N417" s="29" t="n">
        <f aca="false">M417+F417</f>
        <v>49</v>
      </c>
      <c r="O417" s="29" t="n">
        <f aca="false">N417+G417</f>
        <v>58</v>
      </c>
      <c r="P417" s="29" t="n">
        <f aca="false">O417+H417</f>
        <v>69</v>
      </c>
      <c r="Q417" s="29" t="n">
        <f aca="false">P417+I417</f>
        <v>81</v>
      </c>
    </row>
    <row r="418" customFormat="false" ht="15" hidden="false" customHeight="false" outlineLevel="0" collapsed="false">
      <c r="A418" s="29" t="n">
        <v>417</v>
      </c>
      <c r="B418" s="29" t="n">
        <f aca="false">INDEX(Sprint_Metrics!$F$7:$F$16,RANDBETWEEN(1,ROWS(Sprint_Metrics!$F$7:$F$16)))</f>
        <v>7</v>
      </c>
      <c r="C418" s="29" t="n">
        <f aca="false">INDEX(Sprint_Metrics!$F$7:$F$16,RANDBETWEEN(1,ROWS(Sprint_Metrics!$F$7:$F$16)))</f>
        <v>8</v>
      </c>
      <c r="D418" s="29" t="n">
        <f aca="false">INDEX(Sprint_Metrics!$F$7:$F$16,RANDBETWEEN(1,ROWS(Sprint_Metrics!$F$7:$F$16)))</f>
        <v>11</v>
      </c>
      <c r="E418" s="29" t="n">
        <f aca="false">INDEX(Sprint_Metrics!$F$7:$F$16,RANDBETWEEN(1,ROWS(Sprint_Metrics!$F$7:$F$16)))</f>
        <v>7</v>
      </c>
      <c r="F418" s="29" t="n">
        <f aca="false">INDEX(Sprint_Metrics!$F$7:$F$16,RANDBETWEEN(1,ROWS(Sprint_Metrics!$F$7:$F$16)))</f>
        <v>8</v>
      </c>
      <c r="G418" s="29" t="n">
        <f aca="false">INDEX(Sprint_Metrics!$F$7:$F$16,RANDBETWEEN(1,ROWS(Sprint_Metrics!$F$7:$F$16)))</f>
        <v>8</v>
      </c>
      <c r="H418" s="29" t="n">
        <f aca="false">INDEX(Sprint_Metrics!$F$7:$F$16,RANDBETWEEN(1,ROWS(Sprint_Metrics!$F$7:$F$16)))</f>
        <v>12</v>
      </c>
      <c r="I418" s="29" t="n">
        <f aca="false">INDEX(Sprint_Metrics!$F$7:$F$16,RANDBETWEEN(1,ROWS(Sprint_Metrics!$F$7:$F$16)))</f>
        <v>7</v>
      </c>
      <c r="J418" s="29" t="n">
        <f aca="false">B418</f>
        <v>7</v>
      </c>
      <c r="K418" s="29" t="n">
        <f aca="false">J418+C418</f>
        <v>15</v>
      </c>
      <c r="L418" s="29" t="n">
        <f aca="false">K418+D418</f>
        <v>26</v>
      </c>
      <c r="M418" s="29" t="n">
        <f aca="false">L418+E418</f>
        <v>33</v>
      </c>
      <c r="N418" s="29" t="n">
        <f aca="false">M418+F418</f>
        <v>41</v>
      </c>
      <c r="O418" s="29" t="n">
        <f aca="false">N418+G418</f>
        <v>49</v>
      </c>
      <c r="P418" s="29" t="n">
        <f aca="false">O418+H418</f>
        <v>61</v>
      </c>
      <c r="Q418" s="29" t="n">
        <f aca="false">P418+I418</f>
        <v>68</v>
      </c>
    </row>
    <row r="419" customFormat="false" ht="15" hidden="false" customHeight="false" outlineLevel="0" collapsed="false">
      <c r="A419" s="29" t="n">
        <v>418</v>
      </c>
      <c r="B419" s="29" t="n">
        <f aca="false">INDEX(Sprint_Metrics!$F$7:$F$16,RANDBETWEEN(1,ROWS(Sprint_Metrics!$F$7:$F$16)))</f>
        <v>9</v>
      </c>
      <c r="C419" s="29" t="n">
        <f aca="false">INDEX(Sprint_Metrics!$F$7:$F$16,RANDBETWEEN(1,ROWS(Sprint_Metrics!$F$7:$F$16)))</f>
        <v>12</v>
      </c>
      <c r="D419" s="29" t="n">
        <f aca="false">INDEX(Sprint_Metrics!$F$7:$F$16,RANDBETWEEN(1,ROWS(Sprint_Metrics!$F$7:$F$16)))</f>
        <v>7</v>
      </c>
      <c r="E419" s="29" t="n">
        <f aca="false">INDEX(Sprint_Metrics!$F$7:$F$16,RANDBETWEEN(1,ROWS(Sprint_Metrics!$F$7:$F$16)))</f>
        <v>11</v>
      </c>
      <c r="F419" s="29" t="n">
        <f aca="false">INDEX(Sprint_Metrics!$F$7:$F$16,RANDBETWEEN(1,ROWS(Sprint_Metrics!$F$7:$F$16)))</f>
        <v>7</v>
      </c>
      <c r="G419" s="29" t="n">
        <f aca="false">INDEX(Sprint_Metrics!$F$7:$F$16,RANDBETWEEN(1,ROWS(Sprint_Metrics!$F$7:$F$16)))</f>
        <v>7</v>
      </c>
      <c r="H419" s="29" t="n">
        <f aca="false">INDEX(Sprint_Metrics!$F$7:$F$16,RANDBETWEEN(1,ROWS(Sprint_Metrics!$F$7:$F$16)))</f>
        <v>8</v>
      </c>
      <c r="I419" s="29" t="n">
        <f aca="false">INDEX(Sprint_Metrics!$F$7:$F$16,RANDBETWEEN(1,ROWS(Sprint_Metrics!$F$7:$F$16)))</f>
        <v>11</v>
      </c>
      <c r="J419" s="29" t="n">
        <f aca="false">B419</f>
        <v>9</v>
      </c>
      <c r="K419" s="29" t="n">
        <f aca="false">J419+C419</f>
        <v>21</v>
      </c>
      <c r="L419" s="29" t="n">
        <f aca="false">K419+D419</f>
        <v>28</v>
      </c>
      <c r="M419" s="29" t="n">
        <f aca="false">L419+E419</f>
        <v>39</v>
      </c>
      <c r="N419" s="29" t="n">
        <f aca="false">M419+F419</f>
        <v>46</v>
      </c>
      <c r="O419" s="29" t="n">
        <f aca="false">N419+G419</f>
        <v>53</v>
      </c>
      <c r="P419" s="29" t="n">
        <f aca="false">O419+H419</f>
        <v>61</v>
      </c>
      <c r="Q419" s="29" t="n">
        <f aca="false">P419+I419</f>
        <v>72</v>
      </c>
    </row>
    <row r="420" customFormat="false" ht="15" hidden="false" customHeight="false" outlineLevel="0" collapsed="false">
      <c r="A420" s="29" t="n">
        <v>419</v>
      </c>
      <c r="B420" s="29" t="n">
        <f aca="false">INDEX(Sprint_Metrics!$F$7:$F$16,RANDBETWEEN(1,ROWS(Sprint_Metrics!$F$7:$F$16)))</f>
        <v>9</v>
      </c>
      <c r="C420" s="29" t="n">
        <f aca="false">INDEX(Sprint_Metrics!$F$7:$F$16,RANDBETWEEN(1,ROWS(Sprint_Metrics!$F$7:$F$16)))</f>
        <v>9</v>
      </c>
      <c r="D420" s="29" t="n">
        <f aca="false">INDEX(Sprint_Metrics!$F$7:$F$16,RANDBETWEEN(1,ROWS(Sprint_Metrics!$F$7:$F$16)))</f>
        <v>12</v>
      </c>
      <c r="E420" s="29" t="n">
        <f aca="false">INDEX(Sprint_Metrics!$F$7:$F$16,RANDBETWEEN(1,ROWS(Sprint_Metrics!$F$7:$F$16)))</f>
        <v>9</v>
      </c>
      <c r="F420" s="29" t="n">
        <f aca="false">INDEX(Sprint_Metrics!$F$7:$F$16,RANDBETWEEN(1,ROWS(Sprint_Metrics!$F$7:$F$16)))</f>
        <v>7</v>
      </c>
      <c r="G420" s="29" t="n">
        <f aca="false">INDEX(Sprint_Metrics!$F$7:$F$16,RANDBETWEEN(1,ROWS(Sprint_Metrics!$F$7:$F$16)))</f>
        <v>7</v>
      </c>
      <c r="H420" s="29" t="n">
        <f aca="false">INDEX(Sprint_Metrics!$F$7:$F$16,RANDBETWEEN(1,ROWS(Sprint_Metrics!$F$7:$F$16)))</f>
        <v>11</v>
      </c>
      <c r="I420" s="29" t="n">
        <f aca="false">INDEX(Sprint_Metrics!$F$7:$F$16,RANDBETWEEN(1,ROWS(Sprint_Metrics!$F$7:$F$16)))</f>
        <v>12</v>
      </c>
      <c r="J420" s="29" t="n">
        <f aca="false">B420</f>
        <v>9</v>
      </c>
      <c r="K420" s="29" t="n">
        <f aca="false">J420+C420</f>
        <v>18</v>
      </c>
      <c r="L420" s="29" t="n">
        <f aca="false">K420+D420</f>
        <v>30</v>
      </c>
      <c r="M420" s="29" t="n">
        <f aca="false">L420+E420</f>
        <v>39</v>
      </c>
      <c r="N420" s="29" t="n">
        <f aca="false">M420+F420</f>
        <v>46</v>
      </c>
      <c r="O420" s="29" t="n">
        <f aca="false">N420+G420</f>
        <v>53</v>
      </c>
      <c r="P420" s="29" t="n">
        <f aca="false">O420+H420</f>
        <v>64</v>
      </c>
      <c r="Q420" s="29" t="n">
        <f aca="false">P420+I420</f>
        <v>76</v>
      </c>
    </row>
    <row r="421" customFormat="false" ht="15" hidden="false" customHeight="false" outlineLevel="0" collapsed="false">
      <c r="A421" s="29" t="n">
        <v>420</v>
      </c>
      <c r="B421" s="29" t="n">
        <f aca="false">INDEX(Sprint_Metrics!$F$7:$F$16,RANDBETWEEN(1,ROWS(Sprint_Metrics!$F$7:$F$16)))</f>
        <v>8</v>
      </c>
      <c r="C421" s="29" t="n">
        <f aca="false">INDEX(Sprint_Metrics!$F$7:$F$16,RANDBETWEEN(1,ROWS(Sprint_Metrics!$F$7:$F$16)))</f>
        <v>9</v>
      </c>
      <c r="D421" s="29" t="n">
        <f aca="false">INDEX(Sprint_Metrics!$F$7:$F$16,RANDBETWEEN(1,ROWS(Sprint_Metrics!$F$7:$F$16)))</f>
        <v>12</v>
      </c>
      <c r="E421" s="29" t="n">
        <f aca="false">INDEX(Sprint_Metrics!$F$7:$F$16,RANDBETWEEN(1,ROWS(Sprint_Metrics!$F$7:$F$16)))</f>
        <v>11</v>
      </c>
      <c r="F421" s="29" t="n">
        <f aca="false">INDEX(Sprint_Metrics!$F$7:$F$16,RANDBETWEEN(1,ROWS(Sprint_Metrics!$F$7:$F$16)))</f>
        <v>9</v>
      </c>
      <c r="G421" s="29" t="n">
        <f aca="false">INDEX(Sprint_Metrics!$F$7:$F$16,RANDBETWEEN(1,ROWS(Sprint_Metrics!$F$7:$F$16)))</f>
        <v>8</v>
      </c>
      <c r="H421" s="29" t="n">
        <f aca="false">INDEX(Sprint_Metrics!$F$7:$F$16,RANDBETWEEN(1,ROWS(Sprint_Metrics!$F$7:$F$16)))</f>
        <v>8</v>
      </c>
      <c r="I421" s="29" t="n">
        <f aca="false">INDEX(Sprint_Metrics!$F$7:$F$16,RANDBETWEEN(1,ROWS(Sprint_Metrics!$F$7:$F$16)))</f>
        <v>11</v>
      </c>
      <c r="J421" s="29" t="n">
        <f aca="false">B421</f>
        <v>8</v>
      </c>
      <c r="K421" s="29" t="n">
        <f aca="false">J421+C421</f>
        <v>17</v>
      </c>
      <c r="L421" s="29" t="n">
        <f aca="false">K421+D421</f>
        <v>29</v>
      </c>
      <c r="M421" s="29" t="n">
        <f aca="false">L421+E421</f>
        <v>40</v>
      </c>
      <c r="N421" s="29" t="n">
        <f aca="false">M421+F421</f>
        <v>49</v>
      </c>
      <c r="O421" s="29" t="n">
        <f aca="false">N421+G421</f>
        <v>57</v>
      </c>
      <c r="P421" s="29" t="n">
        <f aca="false">O421+H421</f>
        <v>65</v>
      </c>
      <c r="Q421" s="29" t="n">
        <f aca="false">P421+I421</f>
        <v>76</v>
      </c>
    </row>
    <row r="422" customFormat="false" ht="15" hidden="false" customHeight="false" outlineLevel="0" collapsed="false">
      <c r="A422" s="29" t="n">
        <v>421</v>
      </c>
      <c r="B422" s="29" t="n">
        <f aca="false">INDEX(Sprint_Metrics!$F$7:$F$16,RANDBETWEEN(1,ROWS(Sprint_Metrics!$F$7:$F$16)))</f>
        <v>8</v>
      </c>
      <c r="C422" s="29" t="n">
        <f aca="false">INDEX(Sprint_Metrics!$F$7:$F$16,RANDBETWEEN(1,ROWS(Sprint_Metrics!$F$7:$F$16)))</f>
        <v>11</v>
      </c>
      <c r="D422" s="29" t="n">
        <f aca="false">INDEX(Sprint_Metrics!$F$7:$F$16,RANDBETWEEN(1,ROWS(Sprint_Metrics!$F$7:$F$16)))</f>
        <v>9</v>
      </c>
      <c r="E422" s="29" t="n">
        <f aca="false">INDEX(Sprint_Metrics!$F$7:$F$16,RANDBETWEEN(1,ROWS(Sprint_Metrics!$F$7:$F$16)))</f>
        <v>8</v>
      </c>
      <c r="F422" s="29" t="n">
        <f aca="false">INDEX(Sprint_Metrics!$F$7:$F$16,RANDBETWEEN(1,ROWS(Sprint_Metrics!$F$7:$F$16)))</f>
        <v>8</v>
      </c>
      <c r="G422" s="29" t="n">
        <f aca="false">INDEX(Sprint_Metrics!$F$7:$F$16,RANDBETWEEN(1,ROWS(Sprint_Metrics!$F$7:$F$16)))</f>
        <v>11</v>
      </c>
      <c r="H422" s="29" t="n">
        <f aca="false">INDEX(Sprint_Metrics!$F$7:$F$16,RANDBETWEEN(1,ROWS(Sprint_Metrics!$F$7:$F$16)))</f>
        <v>7</v>
      </c>
      <c r="I422" s="29" t="n">
        <f aca="false">INDEX(Sprint_Metrics!$F$7:$F$16,RANDBETWEEN(1,ROWS(Sprint_Metrics!$F$7:$F$16)))</f>
        <v>7</v>
      </c>
      <c r="J422" s="29" t="n">
        <f aca="false">B422</f>
        <v>8</v>
      </c>
      <c r="K422" s="29" t="n">
        <f aca="false">J422+C422</f>
        <v>19</v>
      </c>
      <c r="L422" s="29" t="n">
        <f aca="false">K422+D422</f>
        <v>28</v>
      </c>
      <c r="M422" s="29" t="n">
        <f aca="false">L422+E422</f>
        <v>36</v>
      </c>
      <c r="N422" s="29" t="n">
        <f aca="false">M422+F422</f>
        <v>44</v>
      </c>
      <c r="O422" s="29" t="n">
        <f aca="false">N422+G422</f>
        <v>55</v>
      </c>
      <c r="P422" s="29" t="n">
        <f aca="false">O422+H422</f>
        <v>62</v>
      </c>
      <c r="Q422" s="29" t="n">
        <f aca="false">P422+I422</f>
        <v>69</v>
      </c>
    </row>
    <row r="423" customFormat="false" ht="15" hidden="false" customHeight="false" outlineLevel="0" collapsed="false">
      <c r="A423" s="29" t="n">
        <v>422</v>
      </c>
      <c r="B423" s="29" t="n">
        <f aca="false">INDEX(Sprint_Metrics!$F$7:$F$16,RANDBETWEEN(1,ROWS(Sprint_Metrics!$F$7:$F$16)))</f>
        <v>9</v>
      </c>
      <c r="C423" s="29" t="n">
        <f aca="false">INDEX(Sprint_Metrics!$F$7:$F$16,RANDBETWEEN(1,ROWS(Sprint_Metrics!$F$7:$F$16)))</f>
        <v>12</v>
      </c>
      <c r="D423" s="29" t="n">
        <f aca="false">INDEX(Sprint_Metrics!$F$7:$F$16,RANDBETWEEN(1,ROWS(Sprint_Metrics!$F$7:$F$16)))</f>
        <v>7</v>
      </c>
      <c r="E423" s="29" t="n">
        <f aca="false">INDEX(Sprint_Metrics!$F$7:$F$16,RANDBETWEEN(1,ROWS(Sprint_Metrics!$F$7:$F$16)))</f>
        <v>9</v>
      </c>
      <c r="F423" s="29" t="n">
        <f aca="false">INDEX(Sprint_Metrics!$F$7:$F$16,RANDBETWEEN(1,ROWS(Sprint_Metrics!$F$7:$F$16)))</f>
        <v>11</v>
      </c>
      <c r="G423" s="29" t="n">
        <f aca="false">INDEX(Sprint_Metrics!$F$7:$F$16,RANDBETWEEN(1,ROWS(Sprint_Metrics!$F$7:$F$16)))</f>
        <v>9</v>
      </c>
      <c r="H423" s="29" t="n">
        <f aca="false">INDEX(Sprint_Metrics!$F$7:$F$16,RANDBETWEEN(1,ROWS(Sprint_Metrics!$F$7:$F$16)))</f>
        <v>7</v>
      </c>
      <c r="I423" s="29" t="n">
        <f aca="false">INDEX(Sprint_Metrics!$F$7:$F$16,RANDBETWEEN(1,ROWS(Sprint_Metrics!$F$7:$F$16)))</f>
        <v>12</v>
      </c>
      <c r="J423" s="29" t="n">
        <f aca="false">B423</f>
        <v>9</v>
      </c>
      <c r="K423" s="29" t="n">
        <f aca="false">J423+C423</f>
        <v>21</v>
      </c>
      <c r="L423" s="29" t="n">
        <f aca="false">K423+D423</f>
        <v>28</v>
      </c>
      <c r="M423" s="29" t="n">
        <f aca="false">L423+E423</f>
        <v>37</v>
      </c>
      <c r="N423" s="29" t="n">
        <f aca="false">M423+F423</f>
        <v>48</v>
      </c>
      <c r="O423" s="29" t="n">
        <f aca="false">N423+G423</f>
        <v>57</v>
      </c>
      <c r="P423" s="29" t="n">
        <f aca="false">O423+H423</f>
        <v>64</v>
      </c>
      <c r="Q423" s="29" t="n">
        <f aca="false">P423+I423</f>
        <v>76</v>
      </c>
    </row>
    <row r="424" customFormat="false" ht="15" hidden="false" customHeight="false" outlineLevel="0" collapsed="false">
      <c r="A424" s="29" t="n">
        <v>423</v>
      </c>
      <c r="B424" s="29" t="n">
        <f aca="false">INDEX(Sprint_Metrics!$F$7:$F$16,RANDBETWEEN(1,ROWS(Sprint_Metrics!$F$7:$F$16)))</f>
        <v>8</v>
      </c>
      <c r="C424" s="29" t="n">
        <f aca="false">INDEX(Sprint_Metrics!$F$7:$F$16,RANDBETWEEN(1,ROWS(Sprint_Metrics!$F$7:$F$16)))</f>
        <v>11</v>
      </c>
      <c r="D424" s="29" t="n">
        <f aca="false">INDEX(Sprint_Metrics!$F$7:$F$16,RANDBETWEEN(1,ROWS(Sprint_Metrics!$F$7:$F$16)))</f>
        <v>7</v>
      </c>
      <c r="E424" s="29" t="n">
        <f aca="false">INDEX(Sprint_Metrics!$F$7:$F$16,RANDBETWEEN(1,ROWS(Sprint_Metrics!$F$7:$F$16)))</f>
        <v>11</v>
      </c>
      <c r="F424" s="29" t="n">
        <f aca="false">INDEX(Sprint_Metrics!$F$7:$F$16,RANDBETWEEN(1,ROWS(Sprint_Metrics!$F$7:$F$16)))</f>
        <v>8</v>
      </c>
      <c r="G424" s="29" t="n">
        <f aca="false">INDEX(Sprint_Metrics!$F$7:$F$16,RANDBETWEEN(1,ROWS(Sprint_Metrics!$F$7:$F$16)))</f>
        <v>11</v>
      </c>
      <c r="H424" s="29" t="n">
        <f aca="false">INDEX(Sprint_Metrics!$F$7:$F$16,RANDBETWEEN(1,ROWS(Sprint_Metrics!$F$7:$F$16)))</f>
        <v>7</v>
      </c>
      <c r="I424" s="29" t="n">
        <f aca="false">INDEX(Sprint_Metrics!$F$7:$F$16,RANDBETWEEN(1,ROWS(Sprint_Metrics!$F$7:$F$16)))</f>
        <v>8</v>
      </c>
      <c r="J424" s="29" t="n">
        <f aca="false">B424</f>
        <v>8</v>
      </c>
      <c r="K424" s="29" t="n">
        <f aca="false">J424+C424</f>
        <v>19</v>
      </c>
      <c r="L424" s="29" t="n">
        <f aca="false">K424+D424</f>
        <v>26</v>
      </c>
      <c r="M424" s="29" t="n">
        <f aca="false">L424+E424</f>
        <v>37</v>
      </c>
      <c r="N424" s="29" t="n">
        <f aca="false">M424+F424</f>
        <v>45</v>
      </c>
      <c r="O424" s="29" t="n">
        <f aca="false">N424+G424</f>
        <v>56</v>
      </c>
      <c r="P424" s="29" t="n">
        <f aca="false">O424+H424</f>
        <v>63</v>
      </c>
      <c r="Q424" s="29" t="n">
        <f aca="false">P424+I424</f>
        <v>71</v>
      </c>
    </row>
    <row r="425" customFormat="false" ht="15" hidden="false" customHeight="false" outlineLevel="0" collapsed="false">
      <c r="A425" s="29" t="n">
        <v>424</v>
      </c>
      <c r="B425" s="29" t="n">
        <f aca="false">INDEX(Sprint_Metrics!$F$7:$F$16,RANDBETWEEN(1,ROWS(Sprint_Metrics!$F$7:$F$16)))</f>
        <v>8</v>
      </c>
      <c r="C425" s="29" t="n">
        <f aca="false">INDEX(Sprint_Metrics!$F$7:$F$16,RANDBETWEEN(1,ROWS(Sprint_Metrics!$F$7:$F$16)))</f>
        <v>12</v>
      </c>
      <c r="D425" s="29" t="n">
        <f aca="false">INDEX(Sprint_Metrics!$F$7:$F$16,RANDBETWEEN(1,ROWS(Sprint_Metrics!$F$7:$F$16)))</f>
        <v>7</v>
      </c>
      <c r="E425" s="29" t="n">
        <f aca="false">INDEX(Sprint_Metrics!$F$7:$F$16,RANDBETWEEN(1,ROWS(Sprint_Metrics!$F$7:$F$16)))</f>
        <v>8</v>
      </c>
      <c r="F425" s="29" t="n">
        <f aca="false">INDEX(Sprint_Metrics!$F$7:$F$16,RANDBETWEEN(1,ROWS(Sprint_Metrics!$F$7:$F$16)))</f>
        <v>7</v>
      </c>
      <c r="G425" s="29" t="n">
        <f aca="false">INDEX(Sprint_Metrics!$F$7:$F$16,RANDBETWEEN(1,ROWS(Sprint_Metrics!$F$7:$F$16)))</f>
        <v>8</v>
      </c>
      <c r="H425" s="29" t="n">
        <f aca="false">INDEX(Sprint_Metrics!$F$7:$F$16,RANDBETWEEN(1,ROWS(Sprint_Metrics!$F$7:$F$16)))</f>
        <v>8</v>
      </c>
      <c r="I425" s="29" t="n">
        <f aca="false">INDEX(Sprint_Metrics!$F$7:$F$16,RANDBETWEEN(1,ROWS(Sprint_Metrics!$F$7:$F$16)))</f>
        <v>8</v>
      </c>
      <c r="J425" s="29" t="n">
        <f aca="false">B425</f>
        <v>8</v>
      </c>
      <c r="K425" s="29" t="n">
        <f aca="false">J425+C425</f>
        <v>20</v>
      </c>
      <c r="L425" s="29" t="n">
        <f aca="false">K425+D425</f>
        <v>27</v>
      </c>
      <c r="M425" s="29" t="n">
        <f aca="false">L425+E425</f>
        <v>35</v>
      </c>
      <c r="N425" s="29" t="n">
        <f aca="false">M425+F425</f>
        <v>42</v>
      </c>
      <c r="O425" s="29" t="n">
        <f aca="false">N425+G425</f>
        <v>50</v>
      </c>
      <c r="P425" s="29" t="n">
        <f aca="false">O425+H425</f>
        <v>58</v>
      </c>
      <c r="Q425" s="29" t="n">
        <f aca="false">P425+I425</f>
        <v>66</v>
      </c>
    </row>
    <row r="426" customFormat="false" ht="15" hidden="false" customHeight="false" outlineLevel="0" collapsed="false">
      <c r="A426" s="29" t="n">
        <v>425</v>
      </c>
      <c r="B426" s="29" t="n">
        <f aca="false">INDEX(Sprint_Metrics!$F$7:$F$16,RANDBETWEEN(1,ROWS(Sprint_Metrics!$F$7:$F$16)))</f>
        <v>7</v>
      </c>
      <c r="C426" s="29" t="n">
        <f aca="false">INDEX(Sprint_Metrics!$F$7:$F$16,RANDBETWEEN(1,ROWS(Sprint_Metrics!$F$7:$F$16)))</f>
        <v>12</v>
      </c>
      <c r="D426" s="29" t="n">
        <f aca="false">INDEX(Sprint_Metrics!$F$7:$F$16,RANDBETWEEN(1,ROWS(Sprint_Metrics!$F$7:$F$16)))</f>
        <v>8</v>
      </c>
      <c r="E426" s="29" t="n">
        <f aca="false">INDEX(Sprint_Metrics!$F$7:$F$16,RANDBETWEEN(1,ROWS(Sprint_Metrics!$F$7:$F$16)))</f>
        <v>7</v>
      </c>
      <c r="F426" s="29" t="n">
        <f aca="false">INDEX(Sprint_Metrics!$F$7:$F$16,RANDBETWEEN(1,ROWS(Sprint_Metrics!$F$7:$F$16)))</f>
        <v>11</v>
      </c>
      <c r="G426" s="29" t="n">
        <f aca="false">INDEX(Sprint_Metrics!$F$7:$F$16,RANDBETWEEN(1,ROWS(Sprint_Metrics!$F$7:$F$16)))</f>
        <v>11</v>
      </c>
      <c r="H426" s="29" t="n">
        <f aca="false">INDEX(Sprint_Metrics!$F$7:$F$16,RANDBETWEEN(1,ROWS(Sprint_Metrics!$F$7:$F$16)))</f>
        <v>7</v>
      </c>
      <c r="I426" s="29" t="n">
        <f aca="false">INDEX(Sprint_Metrics!$F$7:$F$16,RANDBETWEEN(1,ROWS(Sprint_Metrics!$F$7:$F$16)))</f>
        <v>7</v>
      </c>
      <c r="J426" s="29" t="n">
        <f aca="false">B426</f>
        <v>7</v>
      </c>
      <c r="K426" s="29" t="n">
        <f aca="false">J426+C426</f>
        <v>19</v>
      </c>
      <c r="L426" s="29" t="n">
        <f aca="false">K426+D426</f>
        <v>27</v>
      </c>
      <c r="M426" s="29" t="n">
        <f aca="false">L426+E426</f>
        <v>34</v>
      </c>
      <c r="N426" s="29" t="n">
        <f aca="false">M426+F426</f>
        <v>45</v>
      </c>
      <c r="O426" s="29" t="n">
        <f aca="false">N426+G426</f>
        <v>56</v>
      </c>
      <c r="P426" s="29" t="n">
        <f aca="false">O426+H426</f>
        <v>63</v>
      </c>
      <c r="Q426" s="29" t="n">
        <f aca="false">P426+I426</f>
        <v>70</v>
      </c>
    </row>
    <row r="427" customFormat="false" ht="15" hidden="false" customHeight="false" outlineLevel="0" collapsed="false">
      <c r="A427" s="29" t="n">
        <v>426</v>
      </c>
      <c r="B427" s="29" t="n">
        <f aca="false">INDEX(Sprint_Metrics!$F$7:$F$16,RANDBETWEEN(1,ROWS(Sprint_Metrics!$F$7:$F$16)))</f>
        <v>9</v>
      </c>
      <c r="C427" s="29" t="n">
        <f aca="false">INDEX(Sprint_Metrics!$F$7:$F$16,RANDBETWEEN(1,ROWS(Sprint_Metrics!$F$7:$F$16)))</f>
        <v>11</v>
      </c>
      <c r="D427" s="29" t="n">
        <f aca="false">INDEX(Sprint_Metrics!$F$7:$F$16,RANDBETWEEN(1,ROWS(Sprint_Metrics!$F$7:$F$16)))</f>
        <v>7</v>
      </c>
      <c r="E427" s="29" t="n">
        <f aca="false">INDEX(Sprint_Metrics!$F$7:$F$16,RANDBETWEEN(1,ROWS(Sprint_Metrics!$F$7:$F$16)))</f>
        <v>11</v>
      </c>
      <c r="F427" s="29" t="n">
        <f aca="false">INDEX(Sprint_Metrics!$F$7:$F$16,RANDBETWEEN(1,ROWS(Sprint_Metrics!$F$7:$F$16)))</f>
        <v>12</v>
      </c>
      <c r="G427" s="29" t="n">
        <f aca="false">INDEX(Sprint_Metrics!$F$7:$F$16,RANDBETWEEN(1,ROWS(Sprint_Metrics!$F$7:$F$16)))</f>
        <v>9</v>
      </c>
      <c r="H427" s="29" t="n">
        <f aca="false">INDEX(Sprint_Metrics!$F$7:$F$16,RANDBETWEEN(1,ROWS(Sprint_Metrics!$F$7:$F$16)))</f>
        <v>7</v>
      </c>
      <c r="I427" s="29" t="n">
        <f aca="false">INDEX(Sprint_Metrics!$F$7:$F$16,RANDBETWEEN(1,ROWS(Sprint_Metrics!$F$7:$F$16)))</f>
        <v>8</v>
      </c>
      <c r="J427" s="29" t="n">
        <f aca="false">B427</f>
        <v>9</v>
      </c>
      <c r="K427" s="29" t="n">
        <f aca="false">J427+C427</f>
        <v>20</v>
      </c>
      <c r="L427" s="29" t="n">
        <f aca="false">K427+D427</f>
        <v>27</v>
      </c>
      <c r="M427" s="29" t="n">
        <f aca="false">L427+E427</f>
        <v>38</v>
      </c>
      <c r="N427" s="29" t="n">
        <f aca="false">M427+F427</f>
        <v>50</v>
      </c>
      <c r="O427" s="29" t="n">
        <f aca="false">N427+G427</f>
        <v>59</v>
      </c>
      <c r="P427" s="29" t="n">
        <f aca="false">O427+H427</f>
        <v>66</v>
      </c>
      <c r="Q427" s="29" t="n">
        <f aca="false">P427+I427</f>
        <v>74</v>
      </c>
    </row>
    <row r="428" customFormat="false" ht="15" hidden="false" customHeight="false" outlineLevel="0" collapsed="false">
      <c r="A428" s="29" t="n">
        <v>427</v>
      </c>
      <c r="B428" s="29" t="n">
        <f aca="false">INDEX(Sprint_Metrics!$F$7:$F$16,RANDBETWEEN(1,ROWS(Sprint_Metrics!$F$7:$F$16)))</f>
        <v>11</v>
      </c>
      <c r="C428" s="29" t="n">
        <f aca="false">INDEX(Sprint_Metrics!$F$7:$F$16,RANDBETWEEN(1,ROWS(Sprint_Metrics!$F$7:$F$16)))</f>
        <v>7</v>
      </c>
      <c r="D428" s="29" t="n">
        <f aca="false">INDEX(Sprint_Metrics!$F$7:$F$16,RANDBETWEEN(1,ROWS(Sprint_Metrics!$F$7:$F$16)))</f>
        <v>8</v>
      </c>
      <c r="E428" s="29" t="n">
        <f aca="false">INDEX(Sprint_Metrics!$F$7:$F$16,RANDBETWEEN(1,ROWS(Sprint_Metrics!$F$7:$F$16)))</f>
        <v>7</v>
      </c>
      <c r="F428" s="29" t="n">
        <f aca="false">INDEX(Sprint_Metrics!$F$7:$F$16,RANDBETWEEN(1,ROWS(Sprint_Metrics!$F$7:$F$16)))</f>
        <v>9</v>
      </c>
      <c r="G428" s="29" t="n">
        <f aca="false">INDEX(Sprint_Metrics!$F$7:$F$16,RANDBETWEEN(1,ROWS(Sprint_Metrics!$F$7:$F$16)))</f>
        <v>7</v>
      </c>
      <c r="H428" s="29" t="n">
        <f aca="false">INDEX(Sprint_Metrics!$F$7:$F$16,RANDBETWEEN(1,ROWS(Sprint_Metrics!$F$7:$F$16)))</f>
        <v>7</v>
      </c>
      <c r="I428" s="29" t="n">
        <f aca="false">INDEX(Sprint_Metrics!$F$7:$F$16,RANDBETWEEN(1,ROWS(Sprint_Metrics!$F$7:$F$16)))</f>
        <v>7</v>
      </c>
      <c r="J428" s="29" t="n">
        <f aca="false">B428</f>
        <v>11</v>
      </c>
      <c r="K428" s="29" t="n">
        <f aca="false">J428+C428</f>
        <v>18</v>
      </c>
      <c r="L428" s="29" t="n">
        <f aca="false">K428+D428</f>
        <v>26</v>
      </c>
      <c r="M428" s="29" t="n">
        <f aca="false">L428+E428</f>
        <v>33</v>
      </c>
      <c r="N428" s="29" t="n">
        <f aca="false">M428+F428</f>
        <v>42</v>
      </c>
      <c r="O428" s="29" t="n">
        <f aca="false">N428+G428</f>
        <v>49</v>
      </c>
      <c r="P428" s="29" t="n">
        <f aca="false">O428+H428</f>
        <v>56</v>
      </c>
      <c r="Q428" s="29" t="n">
        <f aca="false">P428+I428</f>
        <v>63</v>
      </c>
    </row>
    <row r="429" customFormat="false" ht="15" hidden="false" customHeight="false" outlineLevel="0" collapsed="false">
      <c r="A429" s="29" t="n">
        <v>428</v>
      </c>
      <c r="B429" s="29" t="n">
        <f aca="false">INDEX(Sprint_Metrics!$F$7:$F$16,RANDBETWEEN(1,ROWS(Sprint_Metrics!$F$7:$F$16)))</f>
        <v>9</v>
      </c>
      <c r="C429" s="29" t="n">
        <f aca="false">INDEX(Sprint_Metrics!$F$7:$F$16,RANDBETWEEN(1,ROWS(Sprint_Metrics!$F$7:$F$16)))</f>
        <v>11</v>
      </c>
      <c r="D429" s="29" t="n">
        <f aca="false">INDEX(Sprint_Metrics!$F$7:$F$16,RANDBETWEEN(1,ROWS(Sprint_Metrics!$F$7:$F$16)))</f>
        <v>7</v>
      </c>
      <c r="E429" s="29" t="n">
        <f aca="false">INDEX(Sprint_Metrics!$F$7:$F$16,RANDBETWEEN(1,ROWS(Sprint_Metrics!$F$7:$F$16)))</f>
        <v>8</v>
      </c>
      <c r="F429" s="29" t="n">
        <f aca="false">INDEX(Sprint_Metrics!$F$7:$F$16,RANDBETWEEN(1,ROWS(Sprint_Metrics!$F$7:$F$16)))</f>
        <v>12</v>
      </c>
      <c r="G429" s="29" t="n">
        <f aca="false">INDEX(Sprint_Metrics!$F$7:$F$16,RANDBETWEEN(1,ROWS(Sprint_Metrics!$F$7:$F$16)))</f>
        <v>8</v>
      </c>
      <c r="H429" s="29" t="n">
        <f aca="false">INDEX(Sprint_Metrics!$F$7:$F$16,RANDBETWEEN(1,ROWS(Sprint_Metrics!$F$7:$F$16)))</f>
        <v>7</v>
      </c>
      <c r="I429" s="29" t="n">
        <f aca="false">INDEX(Sprint_Metrics!$F$7:$F$16,RANDBETWEEN(1,ROWS(Sprint_Metrics!$F$7:$F$16)))</f>
        <v>7</v>
      </c>
      <c r="J429" s="29" t="n">
        <f aca="false">B429</f>
        <v>9</v>
      </c>
      <c r="K429" s="29" t="n">
        <f aca="false">J429+C429</f>
        <v>20</v>
      </c>
      <c r="L429" s="29" t="n">
        <f aca="false">K429+D429</f>
        <v>27</v>
      </c>
      <c r="M429" s="29" t="n">
        <f aca="false">L429+E429</f>
        <v>35</v>
      </c>
      <c r="N429" s="29" t="n">
        <f aca="false">M429+F429</f>
        <v>47</v>
      </c>
      <c r="O429" s="29" t="n">
        <f aca="false">N429+G429</f>
        <v>55</v>
      </c>
      <c r="P429" s="29" t="n">
        <f aca="false">O429+H429</f>
        <v>62</v>
      </c>
      <c r="Q429" s="29" t="n">
        <f aca="false">P429+I429</f>
        <v>69</v>
      </c>
    </row>
    <row r="430" customFormat="false" ht="15" hidden="false" customHeight="false" outlineLevel="0" collapsed="false">
      <c r="A430" s="29" t="n">
        <v>429</v>
      </c>
      <c r="B430" s="29" t="n">
        <f aca="false">INDEX(Sprint_Metrics!$F$7:$F$16,RANDBETWEEN(1,ROWS(Sprint_Metrics!$F$7:$F$16)))</f>
        <v>7</v>
      </c>
      <c r="C430" s="29" t="n">
        <f aca="false">INDEX(Sprint_Metrics!$F$7:$F$16,RANDBETWEEN(1,ROWS(Sprint_Metrics!$F$7:$F$16)))</f>
        <v>8</v>
      </c>
      <c r="D430" s="29" t="n">
        <f aca="false">INDEX(Sprint_Metrics!$F$7:$F$16,RANDBETWEEN(1,ROWS(Sprint_Metrics!$F$7:$F$16)))</f>
        <v>8</v>
      </c>
      <c r="E430" s="29" t="n">
        <f aca="false">INDEX(Sprint_Metrics!$F$7:$F$16,RANDBETWEEN(1,ROWS(Sprint_Metrics!$F$7:$F$16)))</f>
        <v>8</v>
      </c>
      <c r="F430" s="29" t="n">
        <f aca="false">INDEX(Sprint_Metrics!$F$7:$F$16,RANDBETWEEN(1,ROWS(Sprint_Metrics!$F$7:$F$16)))</f>
        <v>8</v>
      </c>
      <c r="G430" s="29" t="n">
        <f aca="false">INDEX(Sprint_Metrics!$F$7:$F$16,RANDBETWEEN(1,ROWS(Sprint_Metrics!$F$7:$F$16)))</f>
        <v>9</v>
      </c>
      <c r="H430" s="29" t="n">
        <f aca="false">INDEX(Sprint_Metrics!$F$7:$F$16,RANDBETWEEN(1,ROWS(Sprint_Metrics!$F$7:$F$16)))</f>
        <v>11</v>
      </c>
      <c r="I430" s="29" t="n">
        <f aca="false">INDEX(Sprint_Metrics!$F$7:$F$16,RANDBETWEEN(1,ROWS(Sprint_Metrics!$F$7:$F$16)))</f>
        <v>9</v>
      </c>
      <c r="J430" s="29" t="n">
        <f aca="false">B430</f>
        <v>7</v>
      </c>
      <c r="K430" s="29" t="n">
        <f aca="false">J430+C430</f>
        <v>15</v>
      </c>
      <c r="L430" s="29" t="n">
        <f aca="false">K430+D430</f>
        <v>23</v>
      </c>
      <c r="M430" s="29" t="n">
        <f aca="false">L430+E430</f>
        <v>31</v>
      </c>
      <c r="N430" s="29" t="n">
        <f aca="false">M430+F430</f>
        <v>39</v>
      </c>
      <c r="O430" s="29" t="n">
        <f aca="false">N430+G430</f>
        <v>48</v>
      </c>
      <c r="P430" s="29" t="n">
        <f aca="false">O430+H430</f>
        <v>59</v>
      </c>
      <c r="Q430" s="29" t="n">
        <f aca="false">P430+I430</f>
        <v>68</v>
      </c>
    </row>
    <row r="431" customFormat="false" ht="15" hidden="false" customHeight="false" outlineLevel="0" collapsed="false">
      <c r="A431" s="29" t="n">
        <v>430</v>
      </c>
      <c r="B431" s="29" t="n">
        <f aca="false">INDEX(Sprint_Metrics!$F$7:$F$16,RANDBETWEEN(1,ROWS(Sprint_Metrics!$F$7:$F$16)))</f>
        <v>12</v>
      </c>
      <c r="C431" s="29" t="n">
        <f aca="false">INDEX(Sprint_Metrics!$F$7:$F$16,RANDBETWEEN(1,ROWS(Sprint_Metrics!$F$7:$F$16)))</f>
        <v>12</v>
      </c>
      <c r="D431" s="29" t="n">
        <f aca="false">INDEX(Sprint_Metrics!$F$7:$F$16,RANDBETWEEN(1,ROWS(Sprint_Metrics!$F$7:$F$16)))</f>
        <v>7</v>
      </c>
      <c r="E431" s="29" t="n">
        <f aca="false">INDEX(Sprint_Metrics!$F$7:$F$16,RANDBETWEEN(1,ROWS(Sprint_Metrics!$F$7:$F$16)))</f>
        <v>8</v>
      </c>
      <c r="F431" s="29" t="n">
        <f aca="false">INDEX(Sprint_Metrics!$F$7:$F$16,RANDBETWEEN(1,ROWS(Sprint_Metrics!$F$7:$F$16)))</f>
        <v>7</v>
      </c>
      <c r="G431" s="29" t="n">
        <f aca="false">INDEX(Sprint_Metrics!$F$7:$F$16,RANDBETWEEN(1,ROWS(Sprint_Metrics!$F$7:$F$16)))</f>
        <v>12</v>
      </c>
      <c r="H431" s="29" t="n">
        <f aca="false">INDEX(Sprint_Metrics!$F$7:$F$16,RANDBETWEEN(1,ROWS(Sprint_Metrics!$F$7:$F$16)))</f>
        <v>7</v>
      </c>
      <c r="I431" s="29" t="n">
        <f aca="false">INDEX(Sprint_Metrics!$F$7:$F$16,RANDBETWEEN(1,ROWS(Sprint_Metrics!$F$7:$F$16)))</f>
        <v>9</v>
      </c>
      <c r="J431" s="29" t="n">
        <f aca="false">B431</f>
        <v>12</v>
      </c>
      <c r="K431" s="29" t="n">
        <f aca="false">J431+C431</f>
        <v>24</v>
      </c>
      <c r="L431" s="29" t="n">
        <f aca="false">K431+D431</f>
        <v>31</v>
      </c>
      <c r="M431" s="29" t="n">
        <f aca="false">L431+E431</f>
        <v>39</v>
      </c>
      <c r="N431" s="29" t="n">
        <f aca="false">M431+F431</f>
        <v>46</v>
      </c>
      <c r="O431" s="29" t="n">
        <f aca="false">N431+G431</f>
        <v>58</v>
      </c>
      <c r="P431" s="29" t="n">
        <f aca="false">O431+H431</f>
        <v>65</v>
      </c>
      <c r="Q431" s="29" t="n">
        <f aca="false">P431+I431</f>
        <v>74</v>
      </c>
    </row>
    <row r="432" customFormat="false" ht="15" hidden="false" customHeight="false" outlineLevel="0" collapsed="false">
      <c r="A432" s="29" t="n">
        <v>431</v>
      </c>
      <c r="B432" s="29" t="n">
        <f aca="false">INDEX(Sprint_Metrics!$F$7:$F$16,RANDBETWEEN(1,ROWS(Sprint_Metrics!$F$7:$F$16)))</f>
        <v>8</v>
      </c>
      <c r="C432" s="29" t="n">
        <f aca="false">INDEX(Sprint_Metrics!$F$7:$F$16,RANDBETWEEN(1,ROWS(Sprint_Metrics!$F$7:$F$16)))</f>
        <v>8</v>
      </c>
      <c r="D432" s="29" t="n">
        <f aca="false">INDEX(Sprint_Metrics!$F$7:$F$16,RANDBETWEEN(1,ROWS(Sprint_Metrics!$F$7:$F$16)))</f>
        <v>9</v>
      </c>
      <c r="E432" s="29" t="n">
        <f aca="false">INDEX(Sprint_Metrics!$F$7:$F$16,RANDBETWEEN(1,ROWS(Sprint_Metrics!$F$7:$F$16)))</f>
        <v>11</v>
      </c>
      <c r="F432" s="29" t="n">
        <f aca="false">INDEX(Sprint_Metrics!$F$7:$F$16,RANDBETWEEN(1,ROWS(Sprint_Metrics!$F$7:$F$16)))</f>
        <v>11</v>
      </c>
      <c r="G432" s="29" t="n">
        <f aca="false">INDEX(Sprint_Metrics!$F$7:$F$16,RANDBETWEEN(1,ROWS(Sprint_Metrics!$F$7:$F$16)))</f>
        <v>8</v>
      </c>
      <c r="H432" s="29" t="n">
        <f aca="false">INDEX(Sprint_Metrics!$F$7:$F$16,RANDBETWEEN(1,ROWS(Sprint_Metrics!$F$7:$F$16)))</f>
        <v>9</v>
      </c>
      <c r="I432" s="29" t="n">
        <f aca="false">INDEX(Sprint_Metrics!$F$7:$F$16,RANDBETWEEN(1,ROWS(Sprint_Metrics!$F$7:$F$16)))</f>
        <v>8</v>
      </c>
      <c r="J432" s="29" t="n">
        <f aca="false">B432</f>
        <v>8</v>
      </c>
      <c r="K432" s="29" t="n">
        <f aca="false">J432+C432</f>
        <v>16</v>
      </c>
      <c r="L432" s="29" t="n">
        <f aca="false">K432+D432</f>
        <v>25</v>
      </c>
      <c r="M432" s="29" t="n">
        <f aca="false">L432+E432</f>
        <v>36</v>
      </c>
      <c r="N432" s="29" t="n">
        <f aca="false">M432+F432</f>
        <v>47</v>
      </c>
      <c r="O432" s="29" t="n">
        <f aca="false">N432+G432</f>
        <v>55</v>
      </c>
      <c r="P432" s="29" t="n">
        <f aca="false">O432+H432</f>
        <v>64</v>
      </c>
      <c r="Q432" s="29" t="n">
        <f aca="false">P432+I432</f>
        <v>72</v>
      </c>
    </row>
    <row r="433" customFormat="false" ht="15" hidden="false" customHeight="false" outlineLevel="0" collapsed="false">
      <c r="A433" s="29" t="n">
        <v>432</v>
      </c>
      <c r="B433" s="29" t="n">
        <f aca="false">INDEX(Sprint_Metrics!$F$7:$F$16,RANDBETWEEN(1,ROWS(Sprint_Metrics!$F$7:$F$16)))</f>
        <v>8</v>
      </c>
      <c r="C433" s="29" t="n">
        <f aca="false">INDEX(Sprint_Metrics!$F$7:$F$16,RANDBETWEEN(1,ROWS(Sprint_Metrics!$F$7:$F$16)))</f>
        <v>9</v>
      </c>
      <c r="D433" s="29" t="n">
        <f aca="false">INDEX(Sprint_Metrics!$F$7:$F$16,RANDBETWEEN(1,ROWS(Sprint_Metrics!$F$7:$F$16)))</f>
        <v>12</v>
      </c>
      <c r="E433" s="29" t="n">
        <f aca="false">INDEX(Sprint_Metrics!$F$7:$F$16,RANDBETWEEN(1,ROWS(Sprint_Metrics!$F$7:$F$16)))</f>
        <v>9</v>
      </c>
      <c r="F433" s="29" t="n">
        <f aca="false">INDEX(Sprint_Metrics!$F$7:$F$16,RANDBETWEEN(1,ROWS(Sprint_Metrics!$F$7:$F$16)))</f>
        <v>12</v>
      </c>
      <c r="G433" s="29" t="n">
        <f aca="false">INDEX(Sprint_Metrics!$F$7:$F$16,RANDBETWEEN(1,ROWS(Sprint_Metrics!$F$7:$F$16)))</f>
        <v>11</v>
      </c>
      <c r="H433" s="29" t="n">
        <f aca="false">INDEX(Sprint_Metrics!$F$7:$F$16,RANDBETWEEN(1,ROWS(Sprint_Metrics!$F$7:$F$16)))</f>
        <v>8</v>
      </c>
      <c r="I433" s="29" t="n">
        <f aca="false">INDEX(Sprint_Metrics!$F$7:$F$16,RANDBETWEEN(1,ROWS(Sprint_Metrics!$F$7:$F$16)))</f>
        <v>8</v>
      </c>
      <c r="J433" s="29" t="n">
        <f aca="false">B433</f>
        <v>8</v>
      </c>
      <c r="K433" s="29" t="n">
        <f aca="false">J433+C433</f>
        <v>17</v>
      </c>
      <c r="L433" s="29" t="n">
        <f aca="false">K433+D433</f>
        <v>29</v>
      </c>
      <c r="M433" s="29" t="n">
        <f aca="false">L433+E433</f>
        <v>38</v>
      </c>
      <c r="N433" s="29" t="n">
        <f aca="false">M433+F433</f>
        <v>50</v>
      </c>
      <c r="O433" s="29" t="n">
        <f aca="false">N433+G433</f>
        <v>61</v>
      </c>
      <c r="P433" s="29" t="n">
        <f aca="false">O433+H433</f>
        <v>69</v>
      </c>
      <c r="Q433" s="29" t="n">
        <f aca="false">P433+I433</f>
        <v>77</v>
      </c>
    </row>
    <row r="434" customFormat="false" ht="15" hidden="false" customHeight="false" outlineLevel="0" collapsed="false">
      <c r="A434" s="29" t="n">
        <v>433</v>
      </c>
      <c r="B434" s="29" t="n">
        <f aca="false">INDEX(Sprint_Metrics!$F$7:$F$16,RANDBETWEEN(1,ROWS(Sprint_Metrics!$F$7:$F$16)))</f>
        <v>7</v>
      </c>
      <c r="C434" s="29" t="n">
        <f aca="false">INDEX(Sprint_Metrics!$F$7:$F$16,RANDBETWEEN(1,ROWS(Sprint_Metrics!$F$7:$F$16)))</f>
        <v>9</v>
      </c>
      <c r="D434" s="29" t="n">
        <f aca="false">INDEX(Sprint_Metrics!$F$7:$F$16,RANDBETWEEN(1,ROWS(Sprint_Metrics!$F$7:$F$16)))</f>
        <v>7</v>
      </c>
      <c r="E434" s="29" t="n">
        <f aca="false">INDEX(Sprint_Metrics!$F$7:$F$16,RANDBETWEEN(1,ROWS(Sprint_Metrics!$F$7:$F$16)))</f>
        <v>8</v>
      </c>
      <c r="F434" s="29" t="n">
        <f aca="false">INDEX(Sprint_Metrics!$F$7:$F$16,RANDBETWEEN(1,ROWS(Sprint_Metrics!$F$7:$F$16)))</f>
        <v>12</v>
      </c>
      <c r="G434" s="29" t="n">
        <f aca="false">INDEX(Sprint_Metrics!$F$7:$F$16,RANDBETWEEN(1,ROWS(Sprint_Metrics!$F$7:$F$16)))</f>
        <v>7</v>
      </c>
      <c r="H434" s="29" t="n">
        <f aca="false">INDEX(Sprint_Metrics!$F$7:$F$16,RANDBETWEEN(1,ROWS(Sprint_Metrics!$F$7:$F$16)))</f>
        <v>9</v>
      </c>
      <c r="I434" s="29" t="n">
        <f aca="false">INDEX(Sprint_Metrics!$F$7:$F$16,RANDBETWEEN(1,ROWS(Sprint_Metrics!$F$7:$F$16)))</f>
        <v>9</v>
      </c>
      <c r="J434" s="29" t="n">
        <f aca="false">B434</f>
        <v>7</v>
      </c>
      <c r="K434" s="29" t="n">
        <f aca="false">J434+C434</f>
        <v>16</v>
      </c>
      <c r="L434" s="29" t="n">
        <f aca="false">K434+D434</f>
        <v>23</v>
      </c>
      <c r="M434" s="29" t="n">
        <f aca="false">L434+E434</f>
        <v>31</v>
      </c>
      <c r="N434" s="29" t="n">
        <f aca="false">M434+F434</f>
        <v>43</v>
      </c>
      <c r="O434" s="29" t="n">
        <f aca="false">N434+G434</f>
        <v>50</v>
      </c>
      <c r="P434" s="29" t="n">
        <f aca="false">O434+H434</f>
        <v>59</v>
      </c>
      <c r="Q434" s="29" t="n">
        <f aca="false">P434+I434</f>
        <v>68</v>
      </c>
    </row>
    <row r="435" customFormat="false" ht="15" hidden="false" customHeight="false" outlineLevel="0" collapsed="false">
      <c r="A435" s="29" t="n">
        <v>434</v>
      </c>
      <c r="B435" s="29" t="n">
        <f aca="false">INDEX(Sprint_Metrics!$F$7:$F$16,RANDBETWEEN(1,ROWS(Sprint_Metrics!$F$7:$F$16)))</f>
        <v>8</v>
      </c>
      <c r="C435" s="29" t="n">
        <f aca="false">INDEX(Sprint_Metrics!$F$7:$F$16,RANDBETWEEN(1,ROWS(Sprint_Metrics!$F$7:$F$16)))</f>
        <v>7</v>
      </c>
      <c r="D435" s="29" t="n">
        <f aca="false">INDEX(Sprint_Metrics!$F$7:$F$16,RANDBETWEEN(1,ROWS(Sprint_Metrics!$F$7:$F$16)))</f>
        <v>7</v>
      </c>
      <c r="E435" s="29" t="n">
        <f aca="false">INDEX(Sprint_Metrics!$F$7:$F$16,RANDBETWEEN(1,ROWS(Sprint_Metrics!$F$7:$F$16)))</f>
        <v>8</v>
      </c>
      <c r="F435" s="29" t="n">
        <f aca="false">INDEX(Sprint_Metrics!$F$7:$F$16,RANDBETWEEN(1,ROWS(Sprint_Metrics!$F$7:$F$16)))</f>
        <v>7</v>
      </c>
      <c r="G435" s="29" t="n">
        <f aca="false">INDEX(Sprint_Metrics!$F$7:$F$16,RANDBETWEEN(1,ROWS(Sprint_Metrics!$F$7:$F$16)))</f>
        <v>8</v>
      </c>
      <c r="H435" s="29" t="n">
        <f aca="false">INDEX(Sprint_Metrics!$F$7:$F$16,RANDBETWEEN(1,ROWS(Sprint_Metrics!$F$7:$F$16)))</f>
        <v>7</v>
      </c>
      <c r="I435" s="29" t="n">
        <f aca="false">INDEX(Sprint_Metrics!$F$7:$F$16,RANDBETWEEN(1,ROWS(Sprint_Metrics!$F$7:$F$16)))</f>
        <v>8</v>
      </c>
      <c r="J435" s="29" t="n">
        <f aca="false">B435</f>
        <v>8</v>
      </c>
      <c r="K435" s="29" t="n">
        <f aca="false">J435+C435</f>
        <v>15</v>
      </c>
      <c r="L435" s="29" t="n">
        <f aca="false">K435+D435</f>
        <v>22</v>
      </c>
      <c r="M435" s="29" t="n">
        <f aca="false">L435+E435</f>
        <v>30</v>
      </c>
      <c r="N435" s="29" t="n">
        <f aca="false">M435+F435</f>
        <v>37</v>
      </c>
      <c r="O435" s="29" t="n">
        <f aca="false">N435+G435</f>
        <v>45</v>
      </c>
      <c r="P435" s="29" t="n">
        <f aca="false">O435+H435</f>
        <v>52</v>
      </c>
      <c r="Q435" s="29" t="n">
        <f aca="false">P435+I435</f>
        <v>60</v>
      </c>
    </row>
    <row r="436" customFormat="false" ht="15" hidden="false" customHeight="false" outlineLevel="0" collapsed="false">
      <c r="A436" s="29" t="n">
        <v>435</v>
      </c>
      <c r="B436" s="29" t="n">
        <f aca="false">INDEX(Sprint_Metrics!$F$7:$F$16,RANDBETWEEN(1,ROWS(Sprint_Metrics!$F$7:$F$16)))</f>
        <v>8</v>
      </c>
      <c r="C436" s="29" t="n">
        <f aca="false">INDEX(Sprint_Metrics!$F$7:$F$16,RANDBETWEEN(1,ROWS(Sprint_Metrics!$F$7:$F$16)))</f>
        <v>11</v>
      </c>
      <c r="D436" s="29" t="n">
        <f aca="false">INDEX(Sprint_Metrics!$F$7:$F$16,RANDBETWEEN(1,ROWS(Sprint_Metrics!$F$7:$F$16)))</f>
        <v>7</v>
      </c>
      <c r="E436" s="29" t="n">
        <f aca="false">INDEX(Sprint_Metrics!$F$7:$F$16,RANDBETWEEN(1,ROWS(Sprint_Metrics!$F$7:$F$16)))</f>
        <v>11</v>
      </c>
      <c r="F436" s="29" t="n">
        <f aca="false">INDEX(Sprint_Metrics!$F$7:$F$16,RANDBETWEEN(1,ROWS(Sprint_Metrics!$F$7:$F$16)))</f>
        <v>9</v>
      </c>
      <c r="G436" s="29" t="n">
        <f aca="false">INDEX(Sprint_Metrics!$F$7:$F$16,RANDBETWEEN(1,ROWS(Sprint_Metrics!$F$7:$F$16)))</f>
        <v>8</v>
      </c>
      <c r="H436" s="29" t="n">
        <f aca="false">INDEX(Sprint_Metrics!$F$7:$F$16,RANDBETWEEN(1,ROWS(Sprint_Metrics!$F$7:$F$16)))</f>
        <v>8</v>
      </c>
      <c r="I436" s="29" t="n">
        <f aca="false">INDEX(Sprint_Metrics!$F$7:$F$16,RANDBETWEEN(1,ROWS(Sprint_Metrics!$F$7:$F$16)))</f>
        <v>11</v>
      </c>
      <c r="J436" s="29" t="n">
        <f aca="false">B436</f>
        <v>8</v>
      </c>
      <c r="K436" s="29" t="n">
        <f aca="false">J436+C436</f>
        <v>19</v>
      </c>
      <c r="L436" s="29" t="n">
        <f aca="false">K436+D436</f>
        <v>26</v>
      </c>
      <c r="M436" s="29" t="n">
        <f aca="false">L436+E436</f>
        <v>37</v>
      </c>
      <c r="N436" s="29" t="n">
        <f aca="false">M436+F436</f>
        <v>46</v>
      </c>
      <c r="O436" s="29" t="n">
        <f aca="false">N436+G436</f>
        <v>54</v>
      </c>
      <c r="P436" s="29" t="n">
        <f aca="false">O436+H436</f>
        <v>62</v>
      </c>
      <c r="Q436" s="29" t="n">
        <f aca="false">P436+I436</f>
        <v>73</v>
      </c>
    </row>
    <row r="437" customFormat="false" ht="15" hidden="false" customHeight="false" outlineLevel="0" collapsed="false">
      <c r="A437" s="29" t="n">
        <v>436</v>
      </c>
      <c r="B437" s="29" t="n">
        <f aca="false">INDEX(Sprint_Metrics!$F$7:$F$16,RANDBETWEEN(1,ROWS(Sprint_Metrics!$F$7:$F$16)))</f>
        <v>9</v>
      </c>
      <c r="C437" s="29" t="n">
        <f aca="false">INDEX(Sprint_Metrics!$F$7:$F$16,RANDBETWEEN(1,ROWS(Sprint_Metrics!$F$7:$F$16)))</f>
        <v>9</v>
      </c>
      <c r="D437" s="29" t="n">
        <f aca="false">INDEX(Sprint_Metrics!$F$7:$F$16,RANDBETWEEN(1,ROWS(Sprint_Metrics!$F$7:$F$16)))</f>
        <v>11</v>
      </c>
      <c r="E437" s="29" t="n">
        <f aca="false">INDEX(Sprint_Metrics!$F$7:$F$16,RANDBETWEEN(1,ROWS(Sprint_Metrics!$F$7:$F$16)))</f>
        <v>11</v>
      </c>
      <c r="F437" s="29" t="n">
        <f aca="false">INDEX(Sprint_Metrics!$F$7:$F$16,RANDBETWEEN(1,ROWS(Sprint_Metrics!$F$7:$F$16)))</f>
        <v>8</v>
      </c>
      <c r="G437" s="29" t="n">
        <f aca="false">INDEX(Sprint_Metrics!$F$7:$F$16,RANDBETWEEN(1,ROWS(Sprint_Metrics!$F$7:$F$16)))</f>
        <v>9</v>
      </c>
      <c r="H437" s="29" t="n">
        <f aca="false">INDEX(Sprint_Metrics!$F$7:$F$16,RANDBETWEEN(1,ROWS(Sprint_Metrics!$F$7:$F$16)))</f>
        <v>7</v>
      </c>
      <c r="I437" s="29" t="n">
        <f aca="false">INDEX(Sprint_Metrics!$F$7:$F$16,RANDBETWEEN(1,ROWS(Sprint_Metrics!$F$7:$F$16)))</f>
        <v>9</v>
      </c>
      <c r="J437" s="29" t="n">
        <f aca="false">B437</f>
        <v>9</v>
      </c>
      <c r="K437" s="29" t="n">
        <f aca="false">J437+C437</f>
        <v>18</v>
      </c>
      <c r="L437" s="29" t="n">
        <f aca="false">K437+D437</f>
        <v>29</v>
      </c>
      <c r="M437" s="29" t="n">
        <f aca="false">L437+E437</f>
        <v>40</v>
      </c>
      <c r="N437" s="29" t="n">
        <f aca="false">M437+F437</f>
        <v>48</v>
      </c>
      <c r="O437" s="29" t="n">
        <f aca="false">N437+G437</f>
        <v>57</v>
      </c>
      <c r="P437" s="29" t="n">
        <f aca="false">O437+H437</f>
        <v>64</v>
      </c>
      <c r="Q437" s="29" t="n">
        <f aca="false">P437+I437</f>
        <v>73</v>
      </c>
    </row>
    <row r="438" customFormat="false" ht="15" hidden="false" customHeight="false" outlineLevel="0" collapsed="false">
      <c r="A438" s="29" t="n">
        <v>437</v>
      </c>
      <c r="B438" s="29" t="n">
        <f aca="false">INDEX(Sprint_Metrics!$F$7:$F$16,RANDBETWEEN(1,ROWS(Sprint_Metrics!$F$7:$F$16)))</f>
        <v>8</v>
      </c>
      <c r="C438" s="29" t="n">
        <f aca="false">INDEX(Sprint_Metrics!$F$7:$F$16,RANDBETWEEN(1,ROWS(Sprint_Metrics!$F$7:$F$16)))</f>
        <v>9</v>
      </c>
      <c r="D438" s="29" t="n">
        <f aca="false">INDEX(Sprint_Metrics!$F$7:$F$16,RANDBETWEEN(1,ROWS(Sprint_Metrics!$F$7:$F$16)))</f>
        <v>9</v>
      </c>
      <c r="E438" s="29" t="n">
        <f aca="false">INDEX(Sprint_Metrics!$F$7:$F$16,RANDBETWEEN(1,ROWS(Sprint_Metrics!$F$7:$F$16)))</f>
        <v>7</v>
      </c>
      <c r="F438" s="29" t="n">
        <f aca="false">INDEX(Sprint_Metrics!$F$7:$F$16,RANDBETWEEN(1,ROWS(Sprint_Metrics!$F$7:$F$16)))</f>
        <v>8</v>
      </c>
      <c r="G438" s="29" t="n">
        <f aca="false">INDEX(Sprint_Metrics!$F$7:$F$16,RANDBETWEEN(1,ROWS(Sprint_Metrics!$F$7:$F$16)))</f>
        <v>9</v>
      </c>
      <c r="H438" s="29" t="n">
        <f aca="false">INDEX(Sprint_Metrics!$F$7:$F$16,RANDBETWEEN(1,ROWS(Sprint_Metrics!$F$7:$F$16)))</f>
        <v>12</v>
      </c>
      <c r="I438" s="29" t="n">
        <f aca="false">INDEX(Sprint_Metrics!$F$7:$F$16,RANDBETWEEN(1,ROWS(Sprint_Metrics!$F$7:$F$16)))</f>
        <v>8</v>
      </c>
      <c r="J438" s="29" t="n">
        <f aca="false">B438</f>
        <v>8</v>
      </c>
      <c r="K438" s="29" t="n">
        <f aca="false">J438+C438</f>
        <v>17</v>
      </c>
      <c r="L438" s="29" t="n">
        <f aca="false">K438+D438</f>
        <v>26</v>
      </c>
      <c r="M438" s="29" t="n">
        <f aca="false">L438+E438</f>
        <v>33</v>
      </c>
      <c r="N438" s="29" t="n">
        <f aca="false">M438+F438</f>
        <v>41</v>
      </c>
      <c r="O438" s="29" t="n">
        <f aca="false">N438+G438</f>
        <v>50</v>
      </c>
      <c r="P438" s="29" t="n">
        <f aca="false">O438+H438</f>
        <v>62</v>
      </c>
      <c r="Q438" s="29" t="n">
        <f aca="false">P438+I438</f>
        <v>70</v>
      </c>
    </row>
    <row r="439" customFormat="false" ht="15" hidden="false" customHeight="false" outlineLevel="0" collapsed="false">
      <c r="A439" s="29" t="n">
        <v>438</v>
      </c>
      <c r="B439" s="29" t="n">
        <f aca="false">INDEX(Sprint_Metrics!$F$7:$F$16,RANDBETWEEN(1,ROWS(Sprint_Metrics!$F$7:$F$16)))</f>
        <v>8</v>
      </c>
      <c r="C439" s="29" t="n">
        <f aca="false">INDEX(Sprint_Metrics!$F$7:$F$16,RANDBETWEEN(1,ROWS(Sprint_Metrics!$F$7:$F$16)))</f>
        <v>9</v>
      </c>
      <c r="D439" s="29" t="n">
        <f aca="false">INDEX(Sprint_Metrics!$F$7:$F$16,RANDBETWEEN(1,ROWS(Sprint_Metrics!$F$7:$F$16)))</f>
        <v>11</v>
      </c>
      <c r="E439" s="29" t="n">
        <f aca="false">INDEX(Sprint_Metrics!$F$7:$F$16,RANDBETWEEN(1,ROWS(Sprint_Metrics!$F$7:$F$16)))</f>
        <v>8</v>
      </c>
      <c r="F439" s="29" t="n">
        <f aca="false">INDEX(Sprint_Metrics!$F$7:$F$16,RANDBETWEEN(1,ROWS(Sprint_Metrics!$F$7:$F$16)))</f>
        <v>8</v>
      </c>
      <c r="G439" s="29" t="n">
        <f aca="false">INDEX(Sprint_Metrics!$F$7:$F$16,RANDBETWEEN(1,ROWS(Sprint_Metrics!$F$7:$F$16)))</f>
        <v>7</v>
      </c>
      <c r="H439" s="29" t="n">
        <f aca="false">INDEX(Sprint_Metrics!$F$7:$F$16,RANDBETWEEN(1,ROWS(Sprint_Metrics!$F$7:$F$16)))</f>
        <v>12</v>
      </c>
      <c r="I439" s="29" t="n">
        <f aca="false">INDEX(Sprint_Metrics!$F$7:$F$16,RANDBETWEEN(1,ROWS(Sprint_Metrics!$F$7:$F$16)))</f>
        <v>11</v>
      </c>
      <c r="J439" s="29" t="n">
        <f aca="false">B439</f>
        <v>8</v>
      </c>
      <c r="K439" s="29" t="n">
        <f aca="false">J439+C439</f>
        <v>17</v>
      </c>
      <c r="L439" s="29" t="n">
        <f aca="false">K439+D439</f>
        <v>28</v>
      </c>
      <c r="M439" s="29" t="n">
        <f aca="false">L439+E439</f>
        <v>36</v>
      </c>
      <c r="N439" s="29" t="n">
        <f aca="false">M439+F439</f>
        <v>44</v>
      </c>
      <c r="O439" s="29" t="n">
        <f aca="false">N439+G439</f>
        <v>51</v>
      </c>
      <c r="P439" s="29" t="n">
        <f aca="false">O439+H439</f>
        <v>63</v>
      </c>
      <c r="Q439" s="29" t="n">
        <f aca="false">P439+I439</f>
        <v>74</v>
      </c>
    </row>
    <row r="440" customFormat="false" ht="15" hidden="false" customHeight="false" outlineLevel="0" collapsed="false">
      <c r="A440" s="29" t="n">
        <v>439</v>
      </c>
      <c r="B440" s="29" t="n">
        <f aca="false">INDEX(Sprint_Metrics!$F$7:$F$16,RANDBETWEEN(1,ROWS(Sprint_Metrics!$F$7:$F$16)))</f>
        <v>9</v>
      </c>
      <c r="C440" s="29" t="n">
        <f aca="false">INDEX(Sprint_Metrics!$F$7:$F$16,RANDBETWEEN(1,ROWS(Sprint_Metrics!$F$7:$F$16)))</f>
        <v>8</v>
      </c>
      <c r="D440" s="29" t="n">
        <f aca="false">INDEX(Sprint_Metrics!$F$7:$F$16,RANDBETWEEN(1,ROWS(Sprint_Metrics!$F$7:$F$16)))</f>
        <v>7</v>
      </c>
      <c r="E440" s="29" t="n">
        <f aca="false">INDEX(Sprint_Metrics!$F$7:$F$16,RANDBETWEEN(1,ROWS(Sprint_Metrics!$F$7:$F$16)))</f>
        <v>8</v>
      </c>
      <c r="F440" s="29" t="n">
        <f aca="false">INDEX(Sprint_Metrics!$F$7:$F$16,RANDBETWEEN(1,ROWS(Sprint_Metrics!$F$7:$F$16)))</f>
        <v>7</v>
      </c>
      <c r="G440" s="29" t="n">
        <f aca="false">INDEX(Sprint_Metrics!$F$7:$F$16,RANDBETWEEN(1,ROWS(Sprint_Metrics!$F$7:$F$16)))</f>
        <v>8</v>
      </c>
      <c r="H440" s="29" t="n">
        <f aca="false">INDEX(Sprint_Metrics!$F$7:$F$16,RANDBETWEEN(1,ROWS(Sprint_Metrics!$F$7:$F$16)))</f>
        <v>11</v>
      </c>
      <c r="I440" s="29" t="n">
        <f aca="false">INDEX(Sprint_Metrics!$F$7:$F$16,RANDBETWEEN(1,ROWS(Sprint_Metrics!$F$7:$F$16)))</f>
        <v>8</v>
      </c>
      <c r="J440" s="29" t="n">
        <f aca="false">B440</f>
        <v>9</v>
      </c>
      <c r="K440" s="29" t="n">
        <f aca="false">J440+C440</f>
        <v>17</v>
      </c>
      <c r="L440" s="29" t="n">
        <f aca="false">K440+D440</f>
        <v>24</v>
      </c>
      <c r="M440" s="29" t="n">
        <f aca="false">L440+E440</f>
        <v>32</v>
      </c>
      <c r="N440" s="29" t="n">
        <f aca="false">M440+F440</f>
        <v>39</v>
      </c>
      <c r="O440" s="29" t="n">
        <f aca="false">N440+G440</f>
        <v>47</v>
      </c>
      <c r="P440" s="29" t="n">
        <f aca="false">O440+H440</f>
        <v>58</v>
      </c>
      <c r="Q440" s="29" t="n">
        <f aca="false">P440+I440</f>
        <v>66</v>
      </c>
    </row>
    <row r="441" customFormat="false" ht="15" hidden="false" customHeight="false" outlineLevel="0" collapsed="false">
      <c r="A441" s="29" t="n">
        <v>440</v>
      </c>
      <c r="B441" s="29" t="n">
        <f aca="false">INDEX(Sprint_Metrics!$F$7:$F$16,RANDBETWEEN(1,ROWS(Sprint_Metrics!$F$7:$F$16)))</f>
        <v>11</v>
      </c>
      <c r="C441" s="29" t="n">
        <f aca="false">INDEX(Sprint_Metrics!$F$7:$F$16,RANDBETWEEN(1,ROWS(Sprint_Metrics!$F$7:$F$16)))</f>
        <v>7</v>
      </c>
      <c r="D441" s="29" t="n">
        <f aca="false">INDEX(Sprint_Metrics!$F$7:$F$16,RANDBETWEEN(1,ROWS(Sprint_Metrics!$F$7:$F$16)))</f>
        <v>8</v>
      </c>
      <c r="E441" s="29" t="n">
        <f aca="false">INDEX(Sprint_Metrics!$F$7:$F$16,RANDBETWEEN(1,ROWS(Sprint_Metrics!$F$7:$F$16)))</f>
        <v>9</v>
      </c>
      <c r="F441" s="29" t="n">
        <f aca="false">INDEX(Sprint_Metrics!$F$7:$F$16,RANDBETWEEN(1,ROWS(Sprint_Metrics!$F$7:$F$16)))</f>
        <v>8</v>
      </c>
      <c r="G441" s="29" t="n">
        <f aca="false">INDEX(Sprint_Metrics!$F$7:$F$16,RANDBETWEEN(1,ROWS(Sprint_Metrics!$F$7:$F$16)))</f>
        <v>7</v>
      </c>
      <c r="H441" s="29" t="n">
        <f aca="false">INDEX(Sprint_Metrics!$F$7:$F$16,RANDBETWEEN(1,ROWS(Sprint_Metrics!$F$7:$F$16)))</f>
        <v>9</v>
      </c>
      <c r="I441" s="29" t="n">
        <f aca="false">INDEX(Sprint_Metrics!$F$7:$F$16,RANDBETWEEN(1,ROWS(Sprint_Metrics!$F$7:$F$16)))</f>
        <v>9</v>
      </c>
      <c r="J441" s="29" t="n">
        <f aca="false">B441</f>
        <v>11</v>
      </c>
      <c r="K441" s="29" t="n">
        <f aca="false">J441+C441</f>
        <v>18</v>
      </c>
      <c r="L441" s="29" t="n">
        <f aca="false">K441+D441</f>
        <v>26</v>
      </c>
      <c r="M441" s="29" t="n">
        <f aca="false">L441+E441</f>
        <v>35</v>
      </c>
      <c r="N441" s="29" t="n">
        <f aca="false">M441+F441</f>
        <v>43</v>
      </c>
      <c r="O441" s="29" t="n">
        <f aca="false">N441+G441</f>
        <v>50</v>
      </c>
      <c r="P441" s="29" t="n">
        <f aca="false">O441+H441</f>
        <v>59</v>
      </c>
      <c r="Q441" s="29" t="n">
        <f aca="false">P441+I441</f>
        <v>68</v>
      </c>
    </row>
    <row r="442" customFormat="false" ht="15" hidden="false" customHeight="false" outlineLevel="0" collapsed="false">
      <c r="A442" s="29" t="n">
        <v>441</v>
      </c>
      <c r="B442" s="29" t="n">
        <f aca="false">INDEX(Sprint_Metrics!$F$7:$F$16,RANDBETWEEN(1,ROWS(Sprint_Metrics!$F$7:$F$16)))</f>
        <v>11</v>
      </c>
      <c r="C442" s="29" t="n">
        <f aca="false">INDEX(Sprint_Metrics!$F$7:$F$16,RANDBETWEEN(1,ROWS(Sprint_Metrics!$F$7:$F$16)))</f>
        <v>7</v>
      </c>
      <c r="D442" s="29" t="n">
        <f aca="false">INDEX(Sprint_Metrics!$F$7:$F$16,RANDBETWEEN(1,ROWS(Sprint_Metrics!$F$7:$F$16)))</f>
        <v>11</v>
      </c>
      <c r="E442" s="29" t="n">
        <f aca="false">INDEX(Sprint_Metrics!$F$7:$F$16,RANDBETWEEN(1,ROWS(Sprint_Metrics!$F$7:$F$16)))</f>
        <v>11</v>
      </c>
      <c r="F442" s="29" t="n">
        <f aca="false">INDEX(Sprint_Metrics!$F$7:$F$16,RANDBETWEEN(1,ROWS(Sprint_Metrics!$F$7:$F$16)))</f>
        <v>7</v>
      </c>
      <c r="G442" s="29" t="n">
        <f aca="false">INDEX(Sprint_Metrics!$F$7:$F$16,RANDBETWEEN(1,ROWS(Sprint_Metrics!$F$7:$F$16)))</f>
        <v>11</v>
      </c>
      <c r="H442" s="29" t="n">
        <f aca="false">INDEX(Sprint_Metrics!$F$7:$F$16,RANDBETWEEN(1,ROWS(Sprint_Metrics!$F$7:$F$16)))</f>
        <v>12</v>
      </c>
      <c r="I442" s="29" t="n">
        <f aca="false">INDEX(Sprint_Metrics!$F$7:$F$16,RANDBETWEEN(1,ROWS(Sprint_Metrics!$F$7:$F$16)))</f>
        <v>8</v>
      </c>
      <c r="J442" s="29" t="n">
        <f aca="false">B442</f>
        <v>11</v>
      </c>
      <c r="K442" s="29" t="n">
        <f aca="false">J442+C442</f>
        <v>18</v>
      </c>
      <c r="L442" s="29" t="n">
        <f aca="false">K442+D442</f>
        <v>29</v>
      </c>
      <c r="M442" s="29" t="n">
        <f aca="false">L442+E442</f>
        <v>40</v>
      </c>
      <c r="N442" s="29" t="n">
        <f aca="false">M442+F442</f>
        <v>47</v>
      </c>
      <c r="O442" s="29" t="n">
        <f aca="false">N442+G442</f>
        <v>58</v>
      </c>
      <c r="P442" s="29" t="n">
        <f aca="false">O442+H442</f>
        <v>70</v>
      </c>
      <c r="Q442" s="29" t="n">
        <f aca="false">P442+I442</f>
        <v>78</v>
      </c>
    </row>
    <row r="443" customFormat="false" ht="15" hidden="false" customHeight="false" outlineLevel="0" collapsed="false">
      <c r="A443" s="29" t="n">
        <v>442</v>
      </c>
      <c r="B443" s="29" t="n">
        <f aca="false">INDEX(Sprint_Metrics!$F$7:$F$16,RANDBETWEEN(1,ROWS(Sprint_Metrics!$F$7:$F$16)))</f>
        <v>7</v>
      </c>
      <c r="C443" s="29" t="n">
        <f aca="false">INDEX(Sprint_Metrics!$F$7:$F$16,RANDBETWEEN(1,ROWS(Sprint_Metrics!$F$7:$F$16)))</f>
        <v>11</v>
      </c>
      <c r="D443" s="29" t="n">
        <f aca="false">INDEX(Sprint_Metrics!$F$7:$F$16,RANDBETWEEN(1,ROWS(Sprint_Metrics!$F$7:$F$16)))</f>
        <v>7</v>
      </c>
      <c r="E443" s="29" t="n">
        <f aca="false">INDEX(Sprint_Metrics!$F$7:$F$16,RANDBETWEEN(1,ROWS(Sprint_Metrics!$F$7:$F$16)))</f>
        <v>12</v>
      </c>
      <c r="F443" s="29" t="n">
        <f aca="false">INDEX(Sprint_Metrics!$F$7:$F$16,RANDBETWEEN(1,ROWS(Sprint_Metrics!$F$7:$F$16)))</f>
        <v>7</v>
      </c>
      <c r="G443" s="29" t="n">
        <f aca="false">INDEX(Sprint_Metrics!$F$7:$F$16,RANDBETWEEN(1,ROWS(Sprint_Metrics!$F$7:$F$16)))</f>
        <v>11</v>
      </c>
      <c r="H443" s="29" t="n">
        <f aca="false">INDEX(Sprint_Metrics!$F$7:$F$16,RANDBETWEEN(1,ROWS(Sprint_Metrics!$F$7:$F$16)))</f>
        <v>9</v>
      </c>
      <c r="I443" s="29" t="n">
        <f aca="false">INDEX(Sprint_Metrics!$F$7:$F$16,RANDBETWEEN(1,ROWS(Sprint_Metrics!$F$7:$F$16)))</f>
        <v>8</v>
      </c>
      <c r="J443" s="29" t="n">
        <f aca="false">B443</f>
        <v>7</v>
      </c>
      <c r="K443" s="29" t="n">
        <f aca="false">J443+C443</f>
        <v>18</v>
      </c>
      <c r="L443" s="29" t="n">
        <f aca="false">K443+D443</f>
        <v>25</v>
      </c>
      <c r="M443" s="29" t="n">
        <f aca="false">L443+E443</f>
        <v>37</v>
      </c>
      <c r="N443" s="29" t="n">
        <f aca="false">M443+F443</f>
        <v>44</v>
      </c>
      <c r="O443" s="29" t="n">
        <f aca="false">N443+G443</f>
        <v>55</v>
      </c>
      <c r="P443" s="29" t="n">
        <f aca="false">O443+H443</f>
        <v>64</v>
      </c>
      <c r="Q443" s="29" t="n">
        <f aca="false">P443+I443</f>
        <v>72</v>
      </c>
    </row>
    <row r="444" customFormat="false" ht="15" hidden="false" customHeight="false" outlineLevel="0" collapsed="false">
      <c r="A444" s="29" t="n">
        <v>443</v>
      </c>
      <c r="B444" s="29" t="n">
        <f aca="false">INDEX(Sprint_Metrics!$F$7:$F$16,RANDBETWEEN(1,ROWS(Sprint_Metrics!$F$7:$F$16)))</f>
        <v>7</v>
      </c>
      <c r="C444" s="29" t="n">
        <f aca="false">INDEX(Sprint_Metrics!$F$7:$F$16,RANDBETWEEN(1,ROWS(Sprint_Metrics!$F$7:$F$16)))</f>
        <v>9</v>
      </c>
      <c r="D444" s="29" t="n">
        <f aca="false">INDEX(Sprint_Metrics!$F$7:$F$16,RANDBETWEEN(1,ROWS(Sprint_Metrics!$F$7:$F$16)))</f>
        <v>8</v>
      </c>
      <c r="E444" s="29" t="n">
        <f aca="false">INDEX(Sprint_Metrics!$F$7:$F$16,RANDBETWEEN(1,ROWS(Sprint_Metrics!$F$7:$F$16)))</f>
        <v>9</v>
      </c>
      <c r="F444" s="29" t="n">
        <f aca="false">INDEX(Sprint_Metrics!$F$7:$F$16,RANDBETWEEN(1,ROWS(Sprint_Metrics!$F$7:$F$16)))</f>
        <v>8</v>
      </c>
      <c r="G444" s="29" t="n">
        <f aca="false">INDEX(Sprint_Metrics!$F$7:$F$16,RANDBETWEEN(1,ROWS(Sprint_Metrics!$F$7:$F$16)))</f>
        <v>8</v>
      </c>
      <c r="H444" s="29" t="n">
        <f aca="false">INDEX(Sprint_Metrics!$F$7:$F$16,RANDBETWEEN(1,ROWS(Sprint_Metrics!$F$7:$F$16)))</f>
        <v>8</v>
      </c>
      <c r="I444" s="29" t="n">
        <f aca="false">INDEX(Sprint_Metrics!$F$7:$F$16,RANDBETWEEN(1,ROWS(Sprint_Metrics!$F$7:$F$16)))</f>
        <v>8</v>
      </c>
      <c r="J444" s="29" t="n">
        <f aca="false">B444</f>
        <v>7</v>
      </c>
      <c r="K444" s="29" t="n">
        <f aca="false">J444+C444</f>
        <v>16</v>
      </c>
      <c r="L444" s="29" t="n">
        <f aca="false">K444+D444</f>
        <v>24</v>
      </c>
      <c r="M444" s="29" t="n">
        <f aca="false">L444+E444</f>
        <v>33</v>
      </c>
      <c r="N444" s="29" t="n">
        <f aca="false">M444+F444</f>
        <v>41</v>
      </c>
      <c r="O444" s="29" t="n">
        <f aca="false">N444+G444</f>
        <v>49</v>
      </c>
      <c r="P444" s="29" t="n">
        <f aca="false">O444+H444</f>
        <v>57</v>
      </c>
      <c r="Q444" s="29" t="n">
        <f aca="false">P444+I444</f>
        <v>65</v>
      </c>
    </row>
    <row r="445" customFormat="false" ht="15" hidden="false" customHeight="false" outlineLevel="0" collapsed="false">
      <c r="A445" s="29" t="n">
        <v>444</v>
      </c>
      <c r="B445" s="29" t="n">
        <f aca="false">INDEX(Sprint_Metrics!$F$7:$F$16,RANDBETWEEN(1,ROWS(Sprint_Metrics!$F$7:$F$16)))</f>
        <v>7</v>
      </c>
      <c r="C445" s="29" t="n">
        <f aca="false">INDEX(Sprint_Metrics!$F$7:$F$16,RANDBETWEEN(1,ROWS(Sprint_Metrics!$F$7:$F$16)))</f>
        <v>12</v>
      </c>
      <c r="D445" s="29" t="n">
        <f aca="false">INDEX(Sprint_Metrics!$F$7:$F$16,RANDBETWEEN(1,ROWS(Sprint_Metrics!$F$7:$F$16)))</f>
        <v>12</v>
      </c>
      <c r="E445" s="29" t="n">
        <f aca="false">INDEX(Sprint_Metrics!$F$7:$F$16,RANDBETWEEN(1,ROWS(Sprint_Metrics!$F$7:$F$16)))</f>
        <v>11</v>
      </c>
      <c r="F445" s="29" t="n">
        <f aca="false">INDEX(Sprint_Metrics!$F$7:$F$16,RANDBETWEEN(1,ROWS(Sprint_Metrics!$F$7:$F$16)))</f>
        <v>11</v>
      </c>
      <c r="G445" s="29" t="n">
        <f aca="false">INDEX(Sprint_Metrics!$F$7:$F$16,RANDBETWEEN(1,ROWS(Sprint_Metrics!$F$7:$F$16)))</f>
        <v>8</v>
      </c>
      <c r="H445" s="29" t="n">
        <f aca="false">INDEX(Sprint_Metrics!$F$7:$F$16,RANDBETWEEN(1,ROWS(Sprint_Metrics!$F$7:$F$16)))</f>
        <v>7</v>
      </c>
      <c r="I445" s="29" t="n">
        <f aca="false">INDEX(Sprint_Metrics!$F$7:$F$16,RANDBETWEEN(1,ROWS(Sprint_Metrics!$F$7:$F$16)))</f>
        <v>7</v>
      </c>
      <c r="J445" s="29" t="n">
        <f aca="false">B445</f>
        <v>7</v>
      </c>
      <c r="K445" s="29" t="n">
        <f aca="false">J445+C445</f>
        <v>19</v>
      </c>
      <c r="L445" s="29" t="n">
        <f aca="false">K445+D445</f>
        <v>31</v>
      </c>
      <c r="M445" s="29" t="n">
        <f aca="false">L445+E445</f>
        <v>42</v>
      </c>
      <c r="N445" s="29" t="n">
        <f aca="false">M445+F445</f>
        <v>53</v>
      </c>
      <c r="O445" s="29" t="n">
        <f aca="false">N445+G445</f>
        <v>61</v>
      </c>
      <c r="P445" s="29" t="n">
        <f aca="false">O445+H445</f>
        <v>68</v>
      </c>
      <c r="Q445" s="29" t="n">
        <f aca="false">P445+I445</f>
        <v>75</v>
      </c>
    </row>
    <row r="446" customFormat="false" ht="15" hidden="false" customHeight="false" outlineLevel="0" collapsed="false">
      <c r="A446" s="29" t="n">
        <v>445</v>
      </c>
      <c r="B446" s="29" t="n">
        <f aca="false">INDEX(Sprint_Metrics!$F$7:$F$16,RANDBETWEEN(1,ROWS(Sprint_Metrics!$F$7:$F$16)))</f>
        <v>7</v>
      </c>
      <c r="C446" s="29" t="n">
        <f aca="false">INDEX(Sprint_Metrics!$F$7:$F$16,RANDBETWEEN(1,ROWS(Sprint_Metrics!$F$7:$F$16)))</f>
        <v>8</v>
      </c>
      <c r="D446" s="29" t="n">
        <f aca="false">INDEX(Sprint_Metrics!$F$7:$F$16,RANDBETWEEN(1,ROWS(Sprint_Metrics!$F$7:$F$16)))</f>
        <v>9</v>
      </c>
      <c r="E446" s="29" t="n">
        <f aca="false">INDEX(Sprint_Metrics!$F$7:$F$16,RANDBETWEEN(1,ROWS(Sprint_Metrics!$F$7:$F$16)))</f>
        <v>8</v>
      </c>
      <c r="F446" s="29" t="n">
        <f aca="false">INDEX(Sprint_Metrics!$F$7:$F$16,RANDBETWEEN(1,ROWS(Sprint_Metrics!$F$7:$F$16)))</f>
        <v>8</v>
      </c>
      <c r="G446" s="29" t="n">
        <f aca="false">INDEX(Sprint_Metrics!$F$7:$F$16,RANDBETWEEN(1,ROWS(Sprint_Metrics!$F$7:$F$16)))</f>
        <v>9</v>
      </c>
      <c r="H446" s="29" t="n">
        <f aca="false">INDEX(Sprint_Metrics!$F$7:$F$16,RANDBETWEEN(1,ROWS(Sprint_Metrics!$F$7:$F$16)))</f>
        <v>9</v>
      </c>
      <c r="I446" s="29" t="n">
        <f aca="false">INDEX(Sprint_Metrics!$F$7:$F$16,RANDBETWEEN(1,ROWS(Sprint_Metrics!$F$7:$F$16)))</f>
        <v>9</v>
      </c>
      <c r="J446" s="29" t="n">
        <f aca="false">B446</f>
        <v>7</v>
      </c>
      <c r="K446" s="29" t="n">
        <f aca="false">J446+C446</f>
        <v>15</v>
      </c>
      <c r="L446" s="29" t="n">
        <f aca="false">K446+D446</f>
        <v>24</v>
      </c>
      <c r="M446" s="29" t="n">
        <f aca="false">L446+E446</f>
        <v>32</v>
      </c>
      <c r="N446" s="29" t="n">
        <f aca="false">M446+F446</f>
        <v>40</v>
      </c>
      <c r="O446" s="29" t="n">
        <f aca="false">N446+G446</f>
        <v>49</v>
      </c>
      <c r="P446" s="29" t="n">
        <f aca="false">O446+H446</f>
        <v>58</v>
      </c>
      <c r="Q446" s="29" t="n">
        <f aca="false">P446+I446</f>
        <v>67</v>
      </c>
    </row>
    <row r="447" customFormat="false" ht="15" hidden="false" customHeight="false" outlineLevel="0" collapsed="false">
      <c r="A447" s="29" t="n">
        <v>446</v>
      </c>
      <c r="B447" s="29" t="n">
        <f aca="false">INDEX(Sprint_Metrics!$F$7:$F$16,RANDBETWEEN(1,ROWS(Sprint_Metrics!$F$7:$F$16)))</f>
        <v>8</v>
      </c>
      <c r="C447" s="29" t="n">
        <f aca="false">INDEX(Sprint_Metrics!$F$7:$F$16,RANDBETWEEN(1,ROWS(Sprint_Metrics!$F$7:$F$16)))</f>
        <v>11</v>
      </c>
      <c r="D447" s="29" t="n">
        <f aca="false">INDEX(Sprint_Metrics!$F$7:$F$16,RANDBETWEEN(1,ROWS(Sprint_Metrics!$F$7:$F$16)))</f>
        <v>11</v>
      </c>
      <c r="E447" s="29" t="n">
        <f aca="false">INDEX(Sprint_Metrics!$F$7:$F$16,RANDBETWEEN(1,ROWS(Sprint_Metrics!$F$7:$F$16)))</f>
        <v>8</v>
      </c>
      <c r="F447" s="29" t="n">
        <f aca="false">INDEX(Sprint_Metrics!$F$7:$F$16,RANDBETWEEN(1,ROWS(Sprint_Metrics!$F$7:$F$16)))</f>
        <v>8</v>
      </c>
      <c r="G447" s="29" t="n">
        <f aca="false">INDEX(Sprint_Metrics!$F$7:$F$16,RANDBETWEEN(1,ROWS(Sprint_Metrics!$F$7:$F$16)))</f>
        <v>9</v>
      </c>
      <c r="H447" s="29" t="n">
        <f aca="false">INDEX(Sprint_Metrics!$F$7:$F$16,RANDBETWEEN(1,ROWS(Sprint_Metrics!$F$7:$F$16)))</f>
        <v>7</v>
      </c>
      <c r="I447" s="29" t="n">
        <f aca="false">INDEX(Sprint_Metrics!$F$7:$F$16,RANDBETWEEN(1,ROWS(Sprint_Metrics!$F$7:$F$16)))</f>
        <v>9</v>
      </c>
      <c r="J447" s="29" t="n">
        <f aca="false">B447</f>
        <v>8</v>
      </c>
      <c r="K447" s="29" t="n">
        <f aca="false">J447+C447</f>
        <v>19</v>
      </c>
      <c r="L447" s="29" t="n">
        <f aca="false">K447+D447</f>
        <v>30</v>
      </c>
      <c r="M447" s="29" t="n">
        <f aca="false">L447+E447</f>
        <v>38</v>
      </c>
      <c r="N447" s="29" t="n">
        <f aca="false">M447+F447</f>
        <v>46</v>
      </c>
      <c r="O447" s="29" t="n">
        <f aca="false">N447+G447</f>
        <v>55</v>
      </c>
      <c r="P447" s="29" t="n">
        <f aca="false">O447+H447</f>
        <v>62</v>
      </c>
      <c r="Q447" s="29" t="n">
        <f aca="false">P447+I447</f>
        <v>71</v>
      </c>
    </row>
    <row r="448" customFormat="false" ht="15" hidden="false" customHeight="false" outlineLevel="0" collapsed="false">
      <c r="A448" s="29" t="n">
        <v>447</v>
      </c>
      <c r="B448" s="29" t="n">
        <f aca="false">INDEX(Sprint_Metrics!$F$7:$F$16,RANDBETWEEN(1,ROWS(Sprint_Metrics!$F$7:$F$16)))</f>
        <v>11</v>
      </c>
      <c r="C448" s="29" t="n">
        <f aca="false">INDEX(Sprint_Metrics!$F$7:$F$16,RANDBETWEEN(1,ROWS(Sprint_Metrics!$F$7:$F$16)))</f>
        <v>9</v>
      </c>
      <c r="D448" s="29" t="n">
        <f aca="false">INDEX(Sprint_Metrics!$F$7:$F$16,RANDBETWEEN(1,ROWS(Sprint_Metrics!$F$7:$F$16)))</f>
        <v>11</v>
      </c>
      <c r="E448" s="29" t="n">
        <f aca="false">INDEX(Sprint_Metrics!$F$7:$F$16,RANDBETWEEN(1,ROWS(Sprint_Metrics!$F$7:$F$16)))</f>
        <v>7</v>
      </c>
      <c r="F448" s="29" t="n">
        <f aca="false">INDEX(Sprint_Metrics!$F$7:$F$16,RANDBETWEEN(1,ROWS(Sprint_Metrics!$F$7:$F$16)))</f>
        <v>11</v>
      </c>
      <c r="G448" s="29" t="n">
        <f aca="false">INDEX(Sprint_Metrics!$F$7:$F$16,RANDBETWEEN(1,ROWS(Sprint_Metrics!$F$7:$F$16)))</f>
        <v>8</v>
      </c>
      <c r="H448" s="29" t="n">
        <f aca="false">INDEX(Sprint_Metrics!$F$7:$F$16,RANDBETWEEN(1,ROWS(Sprint_Metrics!$F$7:$F$16)))</f>
        <v>7</v>
      </c>
      <c r="I448" s="29" t="n">
        <f aca="false">INDEX(Sprint_Metrics!$F$7:$F$16,RANDBETWEEN(1,ROWS(Sprint_Metrics!$F$7:$F$16)))</f>
        <v>8</v>
      </c>
      <c r="J448" s="29" t="n">
        <f aca="false">B448</f>
        <v>11</v>
      </c>
      <c r="K448" s="29" t="n">
        <f aca="false">J448+C448</f>
        <v>20</v>
      </c>
      <c r="L448" s="29" t="n">
        <f aca="false">K448+D448</f>
        <v>31</v>
      </c>
      <c r="M448" s="29" t="n">
        <f aca="false">L448+E448</f>
        <v>38</v>
      </c>
      <c r="N448" s="29" t="n">
        <f aca="false">M448+F448</f>
        <v>49</v>
      </c>
      <c r="O448" s="29" t="n">
        <f aca="false">N448+G448</f>
        <v>57</v>
      </c>
      <c r="P448" s="29" t="n">
        <f aca="false">O448+H448</f>
        <v>64</v>
      </c>
      <c r="Q448" s="29" t="n">
        <f aca="false">P448+I448</f>
        <v>72</v>
      </c>
    </row>
    <row r="449" customFormat="false" ht="15" hidden="false" customHeight="false" outlineLevel="0" collapsed="false">
      <c r="A449" s="29" t="n">
        <v>448</v>
      </c>
      <c r="B449" s="29" t="n">
        <f aca="false">INDEX(Sprint_Metrics!$F$7:$F$16,RANDBETWEEN(1,ROWS(Sprint_Metrics!$F$7:$F$16)))</f>
        <v>12</v>
      </c>
      <c r="C449" s="29" t="n">
        <f aca="false">INDEX(Sprint_Metrics!$F$7:$F$16,RANDBETWEEN(1,ROWS(Sprint_Metrics!$F$7:$F$16)))</f>
        <v>8</v>
      </c>
      <c r="D449" s="29" t="n">
        <f aca="false">INDEX(Sprint_Metrics!$F$7:$F$16,RANDBETWEEN(1,ROWS(Sprint_Metrics!$F$7:$F$16)))</f>
        <v>9</v>
      </c>
      <c r="E449" s="29" t="n">
        <f aca="false">INDEX(Sprint_Metrics!$F$7:$F$16,RANDBETWEEN(1,ROWS(Sprint_Metrics!$F$7:$F$16)))</f>
        <v>8</v>
      </c>
      <c r="F449" s="29" t="n">
        <f aca="false">INDEX(Sprint_Metrics!$F$7:$F$16,RANDBETWEEN(1,ROWS(Sprint_Metrics!$F$7:$F$16)))</f>
        <v>9</v>
      </c>
      <c r="G449" s="29" t="n">
        <f aca="false">INDEX(Sprint_Metrics!$F$7:$F$16,RANDBETWEEN(1,ROWS(Sprint_Metrics!$F$7:$F$16)))</f>
        <v>11</v>
      </c>
      <c r="H449" s="29" t="n">
        <f aca="false">INDEX(Sprint_Metrics!$F$7:$F$16,RANDBETWEEN(1,ROWS(Sprint_Metrics!$F$7:$F$16)))</f>
        <v>7</v>
      </c>
      <c r="I449" s="29" t="n">
        <f aca="false">INDEX(Sprint_Metrics!$F$7:$F$16,RANDBETWEEN(1,ROWS(Sprint_Metrics!$F$7:$F$16)))</f>
        <v>8</v>
      </c>
      <c r="J449" s="29" t="n">
        <f aca="false">B449</f>
        <v>12</v>
      </c>
      <c r="K449" s="29" t="n">
        <f aca="false">J449+C449</f>
        <v>20</v>
      </c>
      <c r="L449" s="29" t="n">
        <f aca="false">K449+D449</f>
        <v>29</v>
      </c>
      <c r="M449" s="29" t="n">
        <f aca="false">L449+E449</f>
        <v>37</v>
      </c>
      <c r="N449" s="29" t="n">
        <f aca="false">M449+F449</f>
        <v>46</v>
      </c>
      <c r="O449" s="29" t="n">
        <f aca="false">N449+G449</f>
        <v>57</v>
      </c>
      <c r="P449" s="29" t="n">
        <f aca="false">O449+H449</f>
        <v>64</v>
      </c>
      <c r="Q449" s="29" t="n">
        <f aca="false">P449+I449</f>
        <v>72</v>
      </c>
    </row>
    <row r="450" customFormat="false" ht="15" hidden="false" customHeight="false" outlineLevel="0" collapsed="false">
      <c r="A450" s="29" t="n">
        <v>449</v>
      </c>
      <c r="B450" s="29" t="n">
        <f aca="false">INDEX(Sprint_Metrics!$F$7:$F$16,RANDBETWEEN(1,ROWS(Sprint_Metrics!$F$7:$F$16)))</f>
        <v>9</v>
      </c>
      <c r="C450" s="29" t="n">
        <f aca="false">INDEX(Sprint_Metrics!$F$7:$F$16,RANDBETWEEN(1,ROWS(Sprint_Metrics!$F$7:$F$16)))</f>
        <v>11</v>
      </c>
      <c r="D450" s="29" t="n">
        <f aca="false">INDEX(Sprint_Metrics!$F$7:$F$16,RANDBETWEEN(1,ROWS(Sprint_Metrics!$F$7:$F$16)))</f>
        <v>8</v>
      </c>
      <c r="E450" s="29" t="n">
        <f aca="false">INDEX(Sprint_Metrics!$F$7:$F$16,RANDBETWEEN(1,ROWS(Sprint_Metrics!$F$7:$F$16)))</f>
        <v>8</v>
      </c>
      <c r="F450" s="29" t="n">
        <f aca="false">INDEX(Sprint_Metrics!$F$7:$F$16,RANDBETWEEN(1,ROWS(Sprint_Metrics!$F$7:$F$16)))</f>
        <v>7</v>
      </c>
      <c r="G450" s="29" t="n">
        <f aca="false">INDEX(Sprint_Metrics!$F$7:$F$16,RANDBETWEEN(1,ROWS(Sprint_Metrics!$F$7:$F$16)))</f>
        <v>9</v>
      </c>
      <c r="H450" s="29" t="n">
        <f aca="false">INDEX(Sprint_Metrics!$F$7:$F$16,RANDBETWEEN(1,ROWS(Sprint_Metrics!$F$7:$F$16)))</f>
        <v>11</v>
      </c>
      <c r="I450" s="29" t="n">
        <f aca="false">INDEX(Sprint_Metrics!$F$7:$F$16,RANDBETWEEN(1,ROWS(Sprint_Metrics!$F$7:$F$16)))</f>
        <v>9</v>
      </c>
      <c r="J450" s="29" t="n">
        <f aca="false">B450</f>
        <v>9</v>
      </c>
      <c r="K450" s="29" t="n">
        <f aca="false">J450+C450</f>
        <v>20</v>
      </c>
      <c r="L450" s="29" t="n">
        <f aca="false">K450+D450</f>
        <v>28</v>
      </c>
      <c r="M450" s="29" t="n">
        <f aca="false">L450+E450</f>
        <v>36</v>
      </c>
      <c r="N450" s="29" t="n">
        <f aca="false">M450+F450</f>
        <v>43</v>
      </c>
      <c r="O450" s="29" t="n">
        <f aca="false">N450+G450</f>
        <v>52</v>
      </c>
      <c r="P450" s="29" t="n">
        <f aca="false">O450+H450</f>
        <v>63</v>
      </c>
      <c r="Q450" s="29" t="n">
        <f aca="false">P450+I450</f>
        <v>72</v>
      </c>
    </row>
    <row r="451" customFormat="false" ht="15" hidden="false" customHeight="false" outlineLevel="0" collapsed="false">
      <c r="A451" s="29" t="n">
        <v>450</v>
      </c>
      <c r="B451" s="29" t="n">
        <f aca="false">INDEX(Sprint_Metrics!$F$7:$F$16,RANDBETWEEN(1,ROWS(Sprint_Metrics!$F$7:$F$16)))</f>
        <v>12</v>
      </c>
      <c r="C451" s="29" t="n">
        <f aca="false">INDEX(Sprint_Metrics!$F$7:$F$16,RANDBETWEEN(1,ROWS(Sprint_Metrics!$F$7:$F$16)))</f>
        <v>11</v>
      </c>
      <c r="D451" s="29" t="n">
        <f aca="false">INDEX(Sprint_Metrics!$F$7:$F$16,RANDBETWEEN(1,ROWS(Sprint_Metrics!$F$7:$F$16)))</f>
        <v>8</v>
      </c>
      <c r="E451" s="29" t="n">
        <f aca="false">INDEX(Sprint_Metrics!$F$7:$F$16,RANDBETWEEN(1,ROWS(Sprint_Metrics!$F$7:$F$16)))</f>
        <v>8</v>
      </c>
      <c r="F451" s="29" t="n">
        <f aca="false">INDEX(Sprint_Metrics!$F$7:$F$16,RANDBETWEEN(1,ROWS(Sprint_Metrics!$F$7:$F$16)))</f>
        <v>12</v>
      </c>
      <c r="G451" s="29" t="n">
        <f aca="false">INDEX(Sprint_Metrics!$F$7:$F$16,RANDBETWEEN(1,ROWS(Sprint_Metrics!$F$7:$F$16)))</f>
        <v>7</v>
      </c>
      <c r="H451" s="29" t="n">
        <f aca="false">INDEX(Sprint_Metrics!$F$7:$F$16,RANDBETWEEN(1,ROWS(Sprint_Metrics!$F$7:$F$16)))</f>
        <v>8</v>
      </c>
      <c r="I451" s="29" t="n">
        <f aca="false">INDEX(Sprint_Metrics!$F$7:$F$16,RANDBETWEEN(1,ROWS(Sprint_Metrics!$F$7:$F$16)))</f>
        <v>12</v>
      </c>
      <c r="J451" s="29" t="n">
        <f aca="false">B451</f>
        <v>12</v>
      </c>
      <c r="K451" s="29" t="n">
        <f aca="false">J451+C451</f>
        <v>23</v>
      </c>
      <c r="L451" s="29" t="n">
        <f aca="false">K451+D451</f>
        <v>31</v>
      </c>
      <c r="M451" s="29" t="n">
        <f aca="false">L451+E451</f>
        <v>39</v>
      </c>
      <c r="N451" s="29" t="n">
        <f aca="false">M451+F451</f>
        <v>51</v>
      </c>
      <c r="O451" s="29" t="n">
        <f aca="false">N451+G451</f>
        <v>58</v>
      </c>
      <c r="P451" s="29" t="n">
        <f aca="false">O451+H451</f>
        <v>66</v>
      </c>
      <c r="Q451" s="29" t="n">
        <f aca="false">P451+I451</f>
        <v>78</v>
      </c>
    </row>
    <row r="452" customFormat="false" ht="15" hidden="false" customHeight="false" outlineLevel="0" collapsed="false">
      <c r="A452" s="29" t="n">
        <v>451</v>
      </c>
      <c r="B452" s="29" t="n">
        <f aca="false">INDEX(Sprint_Metrics!$F$7:$F$16,RANDBETWEEN(1,ROWS(Sprint_Metrics!$F$7:$F$16)))</f>
        <v>9</v>
      </c>
      <c r="C452" s="29" t="n">
        <f aca="false">INDEX(Sprint_Metrics!$F$7:$F$16,RANDBETWEEN(1,ROWS(Sprint_Metrics!$F$7:$F$16)))</f>
        <v>7</v>
      </c>
      <c r="D452" s="29" t="n">
        <f aca="false">INDEX(Sprint_Metrics!$F$7:$F$16,RANDBETWEEN(1,ROWS(Sprint_Metrics!$F$7:$F$16)))</f>
        <v>9</v>
      </c>
      <c r="E452" s="29" t="n">
        <f aca="false">INDEX(Sprint_Metrics!$F$7:$F$16,RANDBETWEEN(1,ROWS(Sprint_Metrics!$F$7:$F$16)))</f>
        <v>9</v>
      </c>
      <c r="F452" s="29" t="n">
        <f aca="false">INDEX(Sprint_Metrics!$F$7:$F$16,RANDBETWEEN(1,ROWS(Sprint_Metrics!$F$7:$F$16)))</f>
        <v>11</v>
      </c>
      <c r="G452" s="29" t="n">
        <f aca="false">INDEX(Sprint_Metrics!$F$7:$F$16,RANDBETWEEN(1,ROWS(Sprint_Metrics!$F$7:$F$16)))</f>
        <v>11</v>
      </c>
      <c r="H452" s="29" t="n">
        <f aca="false">INDEX(Sprint_Metrics!$F$7:$F$16,RANDBETWEEN(1,ROWS(Sprint_Metrics!$F$7:$F$16)))</f>
        <v>7</v>
      </c>
      <c r="I452" s="29" t="n">
        <f aca="false">INDEX(Sprint_Metrics!$F$7:$F$16,RANDBETWEEN(1,ROWS(Sprint_Metrics!$F$7:$F$16)))</f>
        <v>8</v>
      </c>
      <c r="J452" s="29" t="n">
        <f aca="false">B452</f>
        <v>9</v>
      </c>
      <c r="K452" s="29" t="n">
        <f aca="false">J452+C452</f>
        <v>16</v>
      </c>
      <c r="L452" s="29" t="n">
        <f aca="false">K452+D452</f>
        <v>25</v>
      </c>
      <c r="M452" s="29" t="n">
        <f aca="false">L452+E452</f>
        <v>34</v>
      </c>
      <c r="N452" s="29" t="n">
        <f aca="false">M452+F452</f>
        <v>45</v>
      </c>
      <c r="O452" s="29" t="n">
        <f aca="false">N452+G452</f>
        <v>56</v>
      </c>
      <c r="P452" s="29" t="n">
        <f aca="false">O452+H452</f>
        <v>63</v>
      </c>
      <c r="Q452" s="29" t="n">
        <f aca="false">P452+I452</f>
        <v>71</v>
      </c>
    </row>
    <row r="453" customFormat="false" ht="15" hidden="false" customHeight="false" outlineLevel="0" collapsed="false">
      <c r="A453" s="29" t="n">
        <v>452</v>
      </c>
      <c r="B453" s="29" t="n">
        <f aca="false">INDEX(Sprint_Metrics!$F$7:$F$16,RANDBETWEEN(1,ROWS(Sprint_Metrics!$F$7:$F$16)))</f>
        <v>8</v>
      </c>
      <c r="C453" s="29" t="n">
        <f aca="false">INDEX(Sprint_Metrics!$F$7:$F$16,RANDBETWEEN(1,ROWS(Sprint_Metrics!$F$7:$F$16)))</f>
        <v>7</v>
      </c>
      <c r="D453" s="29" t="n">
        <f aca="false">INDEX(Sprint_Metrics!$F$7:$F$16,RANDBETWEEN(1,ROWS(Sprint_Metrics!$F$7:$F$16)))</f>
        <v>11</v>
      </c>
      <c r="E453" s="29" t="n">
        <f aca="false">INDEX(Sprint_Metrics!$F$7:$F$16,RANDBETWEEN(1,ROWS(Sprint_Metrics!$F$7:$F$16)))</f>
        <v>9</v>
      </c>
      <c r="F453" s="29" t="n">
        <f aca="false">INDEX(Sprint_Metrics!$F$7:$F$16,RANDBETWEEN(1,ROWS(Sprint_Metrics!$F$7:$F$16)))</f>
        <v>9</v>
      </c>
      <c r="G453" s="29" t="n">
        <f aca="false">INDEX(Sprint_Metrics!$F$7:$F$16,RANDBETWEEN(1,ROWS(Sprint_Metrics!$F$7:$F$16)))</f>
        <v>9</v>
      </c>
      <c r="H453" s="29" t="n">
        <f aca="false">INDEX(Sprint_Metrics!$F$7:$F$16,RANDBETWEEN(1,ROWS(Sprint_Metrics!$F$7:$F$16)))</f>
        <v>11</v>
      </c>
      <c r="I453" s="29" t="n">
        <f aca="false">INDEX(Sprint_Metrics!$F$7:$F$16,RANDBETWEEN(1,ROWS(Sprint_Metrics!$F$7:$F$16)))</f>
        <v>11</v>
      </c>
      <c r="J453" s="29" t="n">
        <f aca="false">B453</f>
        <v>8</v>
      </c>
      <c r="K453" s="29" t="n">
        <f aca="false">J453+C453</f>
        <v>15</v>
      </c>
      <c r="L453" s="29" t="n">
        <f aca="false">K453+D453</f>
        <v>26</v>
      </c>
      <c r="M453" s="29" t="n">
        <f aca="false">L453+E453</f>
        <v>35</v>
      </c>
      <c r="N453" s="29" t="n">
        <f aca="false">M453+F453</f>
        <v>44</v>
      </c>
      <c r="O453" s="29" t="n">
        <f aca="false">N453+G453</f>
        <v>53</v>
      </c>
      <c r="P453" s="29" t="n">
        <f aca="false">O453+H453</f>
        <v>64</v>
      </c>
      <c r="Q453" s="29" t="n">
        <f aca="false">P453+I453</f>
        <v>75</v>
      </c>
    </row>
    <row r="454" customFormat="false" ht="15" hidden="false" customHeight="false" outlineLevel="0" collapsed="false">
      <c r="A454" s="29" t="n">
        <v>453</v>
      </c>
      <c r="B454" s="29" t="n">
        <f aca="false">INDEX(Sprint_Metrics!$F$7:$F$16,RANDBETWEEN(1,ROWS(Sprint_Metrics!$F$7:$F$16)))</f>
        <v>11</v>
      </c>
      <c r="C454" s="29" t="n">
        <f aca="false">INDEX(Sprint_Metrics!$F$7:$F$16,RANDBETWEEN(1,ROWS(Sprint_Metrics!$F$7:$F$16)))</f>
        <v>9</v>
      </c>
      <c r="D454" s="29" t="n">
        <f aca="false">INDEX(Sprint_Metrics!$F$7:$F$16,RANDBETWEEN(1,ROWS(Sprint_Metrics!$F$7:$F$16)))</f>
        <v>8</v>
      </c>
      <c r="E454" s="29" t="n">
        <f aca="false">INDEX(Sprint_Metrics!$F$7:$F$16,RANDBETWEEN(1,ROWS(Sprint_Metrics!$F$7:$F$16)))</f>
        <v>8</v>
      </c>
      <c r="F454" s="29" t="n">
        <f aca="false">INDEX(Sprint_Metrics!$F$7:$F$16,RANDBETWEEN(1,ROWS(Sprint_Metrics!$F$7:$F$16)))</f>
        <v>9</v>
      </c>
      <c r="G454" s="29" t="n">
        <f aca="false">INDEX(Sprint_Metrics!$F$7:$F$16,RANDBETWEEN(1,ROWS(Sprint_Metrics!$F$7:$F$16)))</f>
        <v>11</v>
      </c>
      <c r="H454" s="29" t="n">
        <f aca="false">INDEX(Sprint_Metrics!$F$7:$F$16,RANDBETWEEN(1,ROWS(Sprint_Metrics!$F$7:$F$16)))</f>
        <v>7</v>
      </c>
      <c r="I454" s="29" t="n">
        <f aca="false">INDEX(Sprint_Metrics!$F$7:$F$16,RANDBETWEEN(1,ROWS(Sprint_Metrics!$F$7:$F$16)))</f>
        <v>11</v>
      </c>
      <c r="J454" s="29" t="n">
        <f aca="false">B454</f>
        <v>11</v>
      </c>
      <c r="K454" s="29" t="n">
        <f aca="false">J454+C454</f>
        <v>20</v>
      </c>
      <c r="L454" s="29" t="n">
        <f aca="false">K454+D454</f>
        <v>28</v>
      </c>
      <c r="M454" s="29" t="n">
        <f aca="false">L454+E454</f>
        <v>36</v>
      </c>
      <c r="N454" s="29" t="n">
        <f aca="false">M454+F454</f>
        <v>45</v>
      </c>
      <c r="O454" s="29" t="n">
        <f aca="false">N454+G454</f>
        <v>56</v>
      </c>
      <c r="P454" s="29" t="n">
        <f aca="false">O454+H454</f>
        <v>63</v>
      </c>
      <c r="Q454" s="29" t="n">
        <f aca="false">P454+I454</f>
        <v>74</v>
      </c>
    </row>
    <row r="455" customFormat="false" ht="15" hidden="false" customHeight="false" outlineLevel="0" collapsed="false">
      <c r="A455" s="29" t="n">
        <v>454</v>
      </c>
      <c r="B455" s="29" t="n">
        <f aca="false">INDEX(Sprint_Metrics!$F$7:$F$16,RANDBETWEEN(1,ROWS(Sprint_Metrics!$F$7:$F$16)))</f>
        <v>8</v>
      </c>
      <c r="C455" s="29" t="n">
        <f aca="false">INDEX(Sprint_Metrics!$F$7:$F$16,RANDBETWEEN(1,ROWS(Sprint_Metrics!$F$7:$F$16)))</f>
        <v>8</v>
      </c>
      <c r="D455" s="29" t="n">
        <f aca="false">INDEX(Sprint_Metrics!$F$7:$F$16,RANDBETWEEN(1,ROWS(Sprint_Metrics!$F$7:$F$16)))</f>
        <v>9</v>
      </c>
      <c r="E455" s="29" t="n">
        <f aca="false">INDEX(Sprint_Metrics!$F$7:$F$16,RANDBETWEEN(1,ROWS(Sprint_Metrics!$F$7:$F$16)))</f>
        <v>11</v>
      </c>
      <c r="F455" s="29" t="n">
        <f aca="false">INDEX(Sprint_Metrics!$F$7:$F$16,RANDBETWEEN(1,ROWS(Sprint_Metrics!$F$7:$F$16)))</f>
        <v>8</v>
      </c>
      <c r="G455" s="29" t="n">
        <f aca="false">INDEX(Sprint_Metrics!$F$7:$F$16,RANDBETWEEN(1,ROWS(Sprint_Metrics!$F$7:$F$16)))</f>
        <v>9</v>
      </c>
      <c r="H455" s="29" t="n">
        <f aca="false">INDEX(Sprint_Metrics!$F$7:$F$16,RANDBETWEEN(1,ROWS(Sprint_Metrics!$F$7:$F$16)))</f>
        <v>9</v>
      </c>
      <c r="I455" s="29" t="n">
        <f aca="false">INDEX(Sprint_Metrics!$F$7:$F$16,RANDBETWEEN(1,ROWS(Sprint_Metrics!$F$7:$F$16)))</f>
        <v>8</v>
      </c>
      <c r="J455" s="29" t="n">
        <f aca="false">B455</f>
        <v>8</v>
      </c>
      <c r="K455" s="29" t="n">
        <f aca="false">J455+C455</f>
        <v>16</v>
      </c>
      <c r="L455" s="29" t="n">
        <f aca="false">K455+D455</f>
        <v>25</v>
      </c>
      <c r="M455" s="29" t="n">
        <f aca="false">L455+E455</f>
        <v>36</v>
      </c>
      <c r="N455" s="29" t="n">
        <f aca="false">M455+F455</f>
        <v>44</v>
      </c>
      <c r="O455" s="29" t="n">
        <f aca="false">N455+G455</f>
        <v>53</v>
      </c>
      <c r="P455" s="29" t="n">
        <f aca="false">O455+H455</f>
        <v>62</v>
      </c>
      <c r="Q455" s="29" t="n">
        <f aca="false">P455+I455</f>
        <v>70</v>
      </c>
    </row>
    <row r="456" customFormat="false" ht="15" hidden="false" customHeight="false" outlineLevel="0" collapsed="false">
      <c r="A456" s="29" t="n">
        <v>455</v>
      </c>
      <c r="B456" s="29" t="n">
        <f aca="false">INDEX(Sprint_Metrics!$F$7:$F$16,RANDBETWEEN(1,ROWS(Sprint_Metrics!$F$7:$F$16)))</f>
        <v>7</v>
      </c>
      <c r="C456" s="29" t="n">
        <f aca="false">INDEX(Sprint_Metrics!$F$7:$F$16,RANDBETWEEN(1,ROWS(Sprint_Metrics!$F$7:$F$16)))</f>
        <v>9</v>
      </c>
      <c r="D456" s="29" t="n">
        <f aca="false">INDEX(Sprint_Metrics!$F$7:$F$16,RANDBETWEEN(1,ROWS(Sprint_Metrics!$F$7:$F$16)))</f>
        <v>11</v>
      </c>
      <c r="E456" s="29" t="n">
        <f aca="false">INDEX(Sprint_Metrics!$F$7:$F$16,RANDBETWEEN(1,ROWS(Sprint_Metrics!$F$7:$F$16)))</f>
        <v>8</v>
      </c>
      <c r="F456" s="29" t="n">
        <f aca="false">INDEX(Sprint_Metrics!$F$7:$F$16,RANDBETWEEN(1,ROWS(Sprint_Metrics!$F$7:$F$16)))</f>
        <v>9</v>
      </c>
      <c r="G456" s="29" t="n">
        <f aca="false">INDEX(Sprint_Metrics!$F$7:$F$16,RANDBETWEEN(1,ROWS(Sprint_Metrics!$F$7:$F$16)))</f>
        <v>11</v>
      </c>
      <c r="H456" s="29" t="n">
        <f aca="false">INDEX(Sprint_Metrics!$F$7:$F$16,RANDBETWEEN(1,ROWS(Sprint_Metrics!$F$7:$F$16)))</f>
        <v>8</v>
      </c>
      <c r="I456" s="29" t="n">
        <f aca="false">INDEX(Sprint_Metrics!$F$7:$F$16,RANDBETWEEN(1,ROWS(Sprint_Metrics!$F$7:$F$16)))</f>
        <v>7</v>
      </c>
      <c r="J456" s="29" t="n">
        <f aca="false">B456</f>
        <v>7</v>
      </c>
      <c r="K456" s="29" t="n">
        <f aca="false">J456+C456</f>
        <v>16</v>
      </c>
      <c r="L456" s="29" t="n">
        <f aca="false">K456+D456</f>
        <v>27</v>
      </c>
      <c r="M456" s="29" t="n">
        <f aca="false">L456+E456</f>
        <v>35</v>
      </c>
      <c r="N456" s="29" t="n">
        <f aca="false">M456+F456</f>
        <v>44</v>
      </c>
      <c r="O456" s="29" t="n">
        <f aca="false">N456+G456</f>
        <v>55</v>
      </c>
      <c r="P456" s="29" t="n">
        <f aca="false">O456+H456</f>
        <v>63</v>
      </c>
      <c r="Q456" s="29" t="n">
        <f aca="false">P456+I456</f>
        <v>70</v>
      </c>
    </row>
    <row r="457" customFormat="false" ht="15" hidden="false" customHeight="false" outlineLevel="0" collapsed="false">
      <c r="A457" s="29" t="n">
        <v>456</v>
      </c>
      <c r="B457" s="29" t="n">
        <f aca="false">INDEX(Sprint_Metrics!$F$7:$F$16,RANDBETWEEN(1,ROWS(Sprint_Metrics!$F$7:$F$16)))</f>
        <v>8</v>
      </c>
      <c r="C457" s="29" t="n">
        <f aca="false">INDEX(Sprint_Metrics!$F$7:$F$16,RANDBETWEEN(1,ROWS(Sprint_Metrics!$F$7:$F$16)))</f>
        <v>8</v>
      </c>
      <c r="D457" s="29" t="n">
        <f aca="false">INDEX(Sprint_Metrics!$F$7:$F$16,RANDBETWEEN(1,ROWS(Sprint_Metrics!$F$7:$F$16)))</f>
        <v>8</v>
      </c>
      <c r="E457" s="29" t="n">
        <f aca="false">INDEX(Sprint_Metrics!$F$7:$F$16,RANDBETWEEN(1,ROWS(Sprint_Metrics!$F$7:$F$16)))</f>
        <v>7</v>
      </c>
      <c r="F457" s="29" t="n">
        <f aca="false">INDEX(Sprint_Metrics!$F$7:$F$16,RANDBETWEEN(1,ROWS(Sprint_Metrics!$F$7:$F$16)))</f>
        <v>7</v>
      </c>
      <c r="G457" s="29" t="n">
        <f aca="false">INDEX(Sprint_Metrics!$F$7:$F$16,RANDBETWEEN(1,ROWS(Sprint_Metrics!$F$7:$F$16)))</f>
        <v>11</v>
      </c>
      <c r="H457" s="29" t="n">
        <f aca="false">INDEX(Sprint_Metrics!$F$7:$F$16,RANDBETWEEN(1,ROWS(Sprint_Metrics!$F$7:$F$16)))</f>
        <v>12</v>
      </c>
      <c r="I457" s="29" t="n">
        <f aca="false">INDEX(Sprint_Metrics!$F$7:$F$16,RANDBETWEEN(1,ROWS(Sprint_Metrics!$F$7:$F$16)))</f>
        <v>7</v>
      </c>
      <c r="J457" s="29" t="n">
        <f aca="false">B457</f>
        <v>8</v>
      </c>
      <c r="K457" s="29" t="n">
        <f aca="false">J457+C457</f>
        <v>16</v>
      </c>
      <c r="L457" s="29" t="n">
        <f aca="false">K457+D457</f>
        <v>24</v>
      </c>
      <c r="M457" s="29" t="n">
        <f aca="false">L457+E457</f>
        <v>31</v>
      </c>
      <c r="N457" s="29" t="n">
        <f aca="false">M457+F457</f>
        <v>38</v>
      </c>
      <c r="O457" s="29" t="n">
        <f aca="false">N457+G457</f>
        <v>49</v>
      </c>
      <c r="P457" s="29" t="n">
        <f aca="false">O457+H457</f>
        <v>61</v>
      </c>
      <c r="Q457" s="29" t="n">
        <f aca="false">P457+I457</f>
        <v>68</v>
      </c>
    </row>
    <row r="458" customFormat="false" ht="15" hidden="false" customHeight="false" outlineLevel="0" collapsed="false">
      <c r="A458" s="29" t="n">
        <v>457</v>
      </c>
      <c r="B458" s="29" t="n">
        <f aca="false">INDEX(Sprint_Metrics!$F$7:$F$16,RANDBETWEEN(1,ROWS(Sprint_Metrics!$F$7:$F$16)))</f>
        <v>7</v>
      </c>
      <c r="C458" s="29" t="n">
        <f aca="false">INDEX(Sprint_Metrics!$F$7:$F$16,RANDBETWEEN(1,ROWS(Sprint_Metrics!$F$7:$F$16)))</f>
        <v>11</v>
      </c>
      <c r="D458" s="29" t="n">
        <f aca="false">INDEX(Sprint_Metrics!$F$7:$F$16,RANDBETWEEN(1,ROWS(Sprint_Metrics!$F$7:$F$16)))</f>
        <v>8</v>
      </c>
      <c r="E458" s="29" t="n">
        <f aca="false">INDEX(Sprint_Metrics!$F$7:$F$16,RANDBETWEEN(1,ROWS(Sprint_Metrics!$F$7:$F$16)))</f>
        <v>8</v>
      </c>
      <c r="F458" s="29" t="n">
        <f aca="false">INDEX(Sprint_Metrics!$F$7:$F$16,RANDBETWEEN(1,ROWS(Sprint_Metrics!$F$7:$F$16)))</f>
        <v>9</v>
      </c>
      <c r="G458" s="29" t="n">
        <f aca="false">INDEX(Sprint_Metrics!$F$7:$F$16,RANDBETWEEN(1,ROWS(Sprint_Metrics!$F$7:$F$16)))</f>
        <v>9</v>
      </c>
      <c r="H458" s="29" t="n">
        <f aca="false">INDEX(Sprint_Metrics!$F$7:$F$16,RANDBETWEEN(1,ROWS(Sprint_Metrics!$F$7:$F$16)))</f>
        <v>8</v>
      </c>
      <c r="I458" s="29" t="n">
        <f aca="false">INDEX(Sprint_Metrics!$F$7:$F$16,RANDBETWEEN(1,ROWS(Sprint_Metrics!$F$7:$F$16)))</f>
        <v>7</v>
      </c>
      <c r="J458" s="29" t="n">
        <f aca="false">B458</f>
        <v>7</v>
      </c>
      <c r="K458" s="29" t="n">
        <f aca="false">J458+C458</f>
        <v>18</v>
      </c>
      <c r="L458" s="29" t="n">
        <f aca="false">K458+D458</f>
        <v>26</v>
      </c>
      <c r="M458" s="29" t="n">
        <f aca="false">L458+E458</f>
        <v>34</v>
      </c>
      <c r="N458" s="29" t="n">
        <f aca="false">M458+F458</f>
        <v>43</v>
      </c>
      <c r="O458" s="29" t="n">
        <f aca="false">N458+G458</f>
        <v>52</v>
      </c>
      <c r="P458" s="29" t="n">
        <f aca="false">O458+H458</f>
        <v>60</v>
      </c>
      <c r="Q458" s="29" t="n">
        <f aca="false">P458+I458</f>
        <v>67</v>
      </c>
    </row>
    <row r="459" customFormat="false" ht="15" hidden="false" customHeight="false" outlineLevel="0" collapsed="false">
      <c r="A459" s="29" t="n">
        <v>458</v>
      </c>
      <c r="B459" s="29" t="n">
        <f aca="false">INDEX(Sprint_Metrics!$F$7:$F$16,RANDBETWEEN(1,ROWS(Sprint_Metrics!$F$7:$F$16)))</f>
        <v>8</v>
      </c>
      <c r="C459" s="29" t="n">
        <f aca="false">INDEX(Sprint_Metrics!$F$7:$F$16,RANDBETWEEN(1,ROWS(Sprint_Metrics!$F$7:$F$16)))</f>
        <v>7</v>
      </c>
      <c r="D459" s="29" t="n">
        <f aca="false">INDEX(Sprint_Metrics!$F$7:$F$16,RANDBETWEEN(1,ROWS(Sprint_Metrics!$F$7:$F$16)))</f>
        <v>11</v>
      </c>
      <c r="E459" s="29" t="n">
        <f aca="false">INDEX(Sprint_Metrics!$F$7:$F$16,RANDBETWEEN(1,ROWS(Sprint_Metrics!$F$7:$F$16)))</f>
        <v>11</v>
      </c>
      <c r="F459" s="29" t="n">
        <f aca="false">INDEX(Sprint_Metrics!$F$7:$F$16,RANDBETWEEN(1,ROWS(Sprint_Metrics!$F$7:$F$16)))</f>
        <v>11</v>
      </c>
      <c r="G459" s="29" t="n">
        <f aca="false">INDEX(Sprint_Metrics!$F$7:$F$16,RANDBETWEEN(1,ROWS(Sprint_Metrics!$F$7:$F$16)))</f>
        <v>8</v>
      </c>
      <c r="H459" s="29" t="n">
        <f aca="false">INDEX(Sprint_Metrics!$F$7:$F$16,RANDBETWEEN(1,ROWS(Sprint_Metrics!$F$7:$F$16)))</f>
        <v>11</v>
      </c>
      <c r="I459" s="29" t="n">
        <f aca="false">INDEX(Sprint_Metrics!$F$7:$F$16,RANDBETWEEN(1,ROWS(Sprint_Metrics!$F$7:$F$16)))</f>
        <v>8</v>
      </c>
      <c r="J459" s="29" t="n">
        <f aca="false">B459</f>
        <v>8</v>
      </c>
      <c r="K459" s="29" t="n">
        <f aca="false">J459+C459</f>
        <v>15</v>
      </c>
      <c r="L459" s="29" t="n">
        <f aca="false">K459+D459</f>
        <v>26</v>
      </c>
      <c r="M459" s="29" t="n">
        <f aca="false">L459+E459</f>
        <v>37</v>
      </c>
      <c r="N459" s="29" t="n">
        <f aca="false">M459+F459</f>
        <v>48</v>
      </c>
      <c r="O459" s="29" t="n">
        <f aca="false">N459+G459</f>
        <v>56</v>
      </c>
      <c r="P459" s="29" t="n">
        <f aca="false">O459+H459</f>
        <v>67</v>
      </c>
      <c r="Q459" s="29" t="n">
        <f aca="false">P459+I459</f>
        <v>75</v>
      </c>
    </row>
    <row r="460" customFormat="false" ht="15" hidden="false" customHeight="false" outlineLevel="0" collapsed="false">
      <c r="A460" s="29" t="n">
        <v>459</v>
      </c>
      <c r="B460" s="29" t="n">
        <f aca="false">INDEX(Sprint_Metrics!$F$7:$F$16,RANDBETWEEN(1,ROWS(Sprint_Metrics!$F$7:$F$16)))</f>
        <v>8</v>
      </c>
      <c r="C460" s="29" t="n">
        <f aca="false">INDEX(Sprint_Metrics!$F$7:$F$16,RANDBETWEEN(1,ROWS(Sprint_Metrics!$F$7:$F$16)))</f>
        <v>7</v>
      </c>
      <c r="D460" s="29" t="n">
        <f aca="false">INDEX(Sprint_Metrics!$F$7:$F$16,RANDBETWEEN(1,ROWS(Sprint_Metrics!$F$7:$F$16)))</f>
        <v>7</v>
      </c>
      <c r="E460" s="29" t="n">
        <f aca="false">INDEX(Sprint_Metrics!$F$7:$F$16,RANDBETWEEN(1,ROWS(Sprint_Metrics!$F$7:$F$16)))</f>
        <v>8</v>
      </c>
      <c r="F460" s="29" t="n">
        <f aca="false">INDEX(Sprint_Metrics!$F$7:$F$16,RANDBETWEEN(1,ROWS(Sprint_Metrics!$F$7:$F$16)))</f>
        <v>8</v>
      </c>
      <c r="G460" s="29" t="n">
        <f aca="false">INDEX(Sprint_Metrics!$F$7:$F$16,RANDBETWEEN(1,ROWS(Sprint_Metrics!$F$7:$F$16)))</f>
        <v>8</v>
      </c>
      <c r="H460" s="29" t="n">
        <f aca="false">INDEX(Sprint_Metrics!$F$7:$F$16,RANDBETWEEN(1,ROWS(Sprint_Metrics!$F$7:$F$16)))</f>
        <v>12</v>
      </c>
      <c r="I460" s="29" t="n">
        <f aca="false">INDEX(Sprint_Metrics!$F$7:$F$16,RANDBETWEEN(1,ROWS(Sprint_Metrics!$F$7:$F$16)))</f>
        <v>7</v>
      </c>
      <c r="J460" s="29" t="n">
        <f aca="false">B460</f>
        <v>8</v>
      </c>
      <c r="K460" s="29" t="n">
        <f aca="false">J460+C460</f>
        <v>15</v>
      </c>
      <c r="L460" s="29" t="n">
        <f aca="false">K460+D460</f>
        <v>22</v>
      </c>
      <c r="M460" s="29" t="n">
        <f aca="false">L460+E460</f>
        <v>30</v>
      </c>
      <c r="N460" s="29" t="n">
        <f aca="false">M460+F460</f>
        <v>38</v>
      </c>
      <c r="O460" s="29" t="n">
        <f aca="false">N460+G460</f>
        <v>46</v>
      </c>
      <c r="P460" s="29" t="n">
        <f aca="false">O460+H460</f>
        <v>58</v>
      </c>
      <c r="Q460" s="29" t="n">
        <f aca="false">P460+I460</f>
        <v>65</v>
      </c>
    </row>
    <row r="461" customFormat="false" ht="15" hidden="false" customHeight="false" outlineLevel="0" collapsed="false">
      <c r="A461" s="29" t="n">
        <v>460</v>
      </c>
      <c r="B461" s="29" t="n">
        <f aca="false">INDEX(Sprint_Metrics!$F$7:$F$16,RANDBETWEEN(1,ROWS(Sprint_Metrics!$F$7:$F$16)))</f>
        <v>11</v>
      </c>
      <c r="C461" s="29" t="n">
        <f aca="false">INDEX(Sprint_Metrics!$F$7:$F$16,RANDBETWEEN(1,ROWS(Sprint_Metrics!$F$7:$F$16)))</f>
        <v>11</v>
      </c>
      <c r="D461" s="29" t="n">
        <f aca="false">INDEX(Sprint_Metrics!$F$7:$F$16,RANDBETWEEN(1,ROWS(Sprint_Metrics!$F$7:$F$16)))</f>
        <v>8</v>
      </c>
      <c r="E461" s="29" t="n">
        <f aca="false">INDEX(Sprint_Metrics!$F$7:$F$16,RANDBETWEEN(1,ROWS(Sprint_Metrics!$F$7:$F$16)))</f>
        <v>11</v>
      </c>
      <c r="F461" s="29" t="n">
        <f aca="false">INDEX(Sprint_Metrics!$F$7:$F$16,RANDBETWEEN(1,ROWS(Sprint_Metrics!$F$7:$F$16)))</f>
        <v>11</v>
      </c>
      <c r="G461" s="29" t="n">
        <f aca="false">INDEX(Sprint_Metrics!$F$7:$F$16,RANDBETWEEN(1,ROWS(Sprint_Metrics!$F$7:$F$16)))</f>
        <v>9</v>
      </c>
      <c r="H461" s="29" t="n">
        <f aca="false">INDEX(Sprint_Metrics!$F$7:$F$16,RANDBETWEEN(1,ROWS(Sprint_Metrics!$F$7:$F$16)))</f>
        <v>12</v>
      </c>
      <c r="I461" s="29" t="n">
        <f aca="false">INDEX(Sprint_Metrics!$F$7:$F$16,RANDBETWEEN(1,ROWS(Sprint_Metrics!$F$7:$F$16)))</f>
        <v>7</v>
      </c>
      <c r="J461" s="29" t="n">
        <f aca="false">B461</f>
        <v>11</v>
      </c>
      <c r="K461" s="29" t="n">
        <f aca="false">J461+C461</f>
        <v>22</v>
      </c>
      <c r="L461" s="29" t="n">
        <f aca="false">K461+D461</f>
        <v>30</v>
      </c>
      <c r="M461" s="29" t="n">
        <f aca="false">L461+E461</f>
        <v>41</v>
      </c>
      <c r="N461" s="29" t="n">
        <f aca="false">M461+F461</f>
        <v>52</v>
      </c>
      <c r="O461" s="29" t="n">
        <f aca="false">N461+G461</f>
        <v>61</v>
      </c>
      <c r="P461" s="29" t="n">
        <f aca="false">O461+H461</f>
        <v>73</v>
      </c>
      <c r="Q461" s="29" t="n">
        <f aca="false">P461+I461</f>
        <v>80</v>
      </c>
    </row>
    <row r="462" customFormat="false" ht="15" hidden="false" customHeight="false" outlineLevel="0" collapsed="false">
      <c r="A462" s="29" t="n">
        <v>461</v>
      </c>
      <c r="B462" s="29" t="n">
        <f aca="false">INDEX(Sprint_Metrics!$F$7:$F$16,RANDBETWEEN(1,ROWS(Sprint_Metrics!$F$7:$F$16)))</f>
        <v>7</v>
      </c>
      <c r="C462" s="29" t="n">
        <f aca="false">INDEX(Sprint_Metrics!$F$7:$F$16,RANDBETWEEN(1,ROWS(Sprint_Metrics!$F$7:$F$16)))</f>
        <v>7</v>
      </c>
      <c r="D462" s="29" t="n">
        <f aca="false">INDEX(Sprint_Metrics!$F$7:$F$16,RANDBETWEEN(1,ROWS(Sprint_Metrics!$F$7:$F$16)))</f>
        <v>9</v>
      </c>
      <c r="E462" s="29" t="n">
        <f aca="false">INDEX(Sprint_Metrics!$F$7:$F$16,RANDBETWEEN(1,ROWS(Sprint_Metrics!$F$7:$F$16)))</f>
        <v>8</v>
      </c>
      <c r="F462" s="29" t="n">
        <f aca="false">INDEX(Sprint_Metrics!$F$7:$F$16,RANDBETWEEN(1,ROWS(Sprint_Metrics!$F$7:$F$16)))</f>
        <v>8</v>
      </c>
      <c r="G462" s="29" t="n">
        <f aca="false">INDEX(Sprint_Metrics!$F$7:$F$16,RANDBETWEEN(1,ROWS(Sprint_Metrics!$F$7:$F$16)))</f>
        <v>8</v>
      </c>
      <c r="H462" s="29" t="n">
        <f aca="false">INDEX(Sprint_Metrics!$F$7:$F$16,RANDBETWEEN(1,ROWS(Sprint_Metrics!$F$7:$F$16)))</f>
        <v>11</v>
      </c>
      <c r="I462" s="29" t="n">
        <f aca="false">INDEX(Sprint_Metrics!$F$7:$F$16,RANDBETWEEN(1,ROWS(Sprint_Metrics!$F$7:$F$16)))</f>
        <v>9</v>
      </c>
      <c r="J462" s="29" t="n">
        <f aca="false">B462</f>
        <v>7</v>
      </c>
      <c r="K462" s="29" t="n">
        <f aca="false">J462+C462</f>
        <v>14</v>
      </c>
      <c r="L462" s="29" t="n">
        <f aca="false">K462+D462</f>
        <v>23</v>
      </c>
      <c r="M462" s="29" t="n">
        <f aca="false">L462+E462</f>
        <v>31</v>
      </c>
      <c r="N462" s="29" t="n">
        <f aca="false">M462+F462</f>
        <v>39</v>
      </c>
      <c r="O462" s="29" t="n">
        <f aca="false">N462+G462</f>
        <v>47</v>
      </c>
      <c r="P462" s="29" t="n">
        <f aca="false">O462+H462</f>
        <v>58</v>
      </c>
      <c r="Q462" s="29" t="n">
        <f aca="false">P462+I462</f>
        <v>67</v>
      </c>
    </row>
    <row r="463" customFormat="false" ht="15" hidden="false" customHeight="false" outlineLevel="0" collapsed="false">
      <c r="A463" s="29" t="n">
        <v>462</v>
      </c>
      <c r="B463" s="29" t="n">
        <f aca="false">INDEX(Sprint_Metrics!$F$7:$F$16,RANDBETWEEN(1,ROWS(Sprint_Metrics!$F$7:$F$16)))</f>
        <v>7</v>
      </c>
      <c r="C463" s="29" t="n">
        <f aca="false">INDEX(Sprint_Metrics!$F$7:$F$16,RANDBETWEEN(1,ROWS(Sprint_Metrics!$F$7:$F$16)))</f>
        <v>7</v>
      </c>
      <c r="D463" s="29" t="n">
        <f aca="false">INDEX(Sprint_Metrics!$F$7:$F$16,RANDBETWEEN(1,ROWS(Sprint_Metrics!$F$7:$F$16)))</f>
        <v>11</v>
      </c>
      <c r="E463" s="29" t="n">
        <f aca="false">INDEX(Sprint_Metrics!$F$7:$F$16,RANDBETWEEN(1,ROWS(Sprint_Metrics!$F$7:$F$16)))</f>
        <v>8</v>
      </c>
      <c r="F463" s="29" t="n">
        <f aca="false">INDEX(Sprint_Metrics!$F$7:$F$16,RANDBETWEEN(1,ROWS(Sprint_Metrics!$F$7:$F$16)))</f>
        <v>8</v>
      </c>
      <c r="G463" s="29" t="n">
        <f aca="false">INDEX(Sprint_Metrics!$F$7:$F$16,RANDBETWEEN(1,ROWS(Sprint_Metrics!$F$7:$F$16)))</f>
        <v>11</v>
      </c>
      <c r="H463" s="29" t="n">
        <f aca="false">INDEX(Sprint_Metrics!$F$7:$F$16,RANDBETWEEN(1,ROWS(Sprint_Metrics!$F$7:$F$16)))</f>
        <v>9</v>
      </c>
      <c r="I463" s="29" t="n">
        <f aca="false">INDEX(Sprint_Metrics!$F$7:$F$16,RANDBETWEEN(1,ROWS(Sprint_Metrics!$F$7:$F$16)))</f>
        <v>9</v>
      </c>
      <c r="J463" s="29" t="n">
        <f aca="false">B463</f>
        <v>7</v>
      </c>
      <c r="K463" s="29" t="n">
        <f aca="false">J463+C463</f>
        <v>14</v>
      </c>
      <c r="L463" s="29" t="n">
        <f aca="false">K463+D463</f>
        <v>25</v>
      </c>
      <c r="M463" s="29" t="n">
        <f aca="false">L463+E463</f>
        <v>33</v>
      </c>
      <c r="N463" s="29" t="n">
        <f aca="false">M463+F463</f>
        <v>41</v>
      </c>
      <c r="O463" s="29" t="n">
        <f aca="false">N463+G463</f>
        <v>52</v>
      </c>
      <c r="P463" s="29" t="n">
        <f aca="false">O463+H463</f>
        <v>61</v>
      </c>
      <c r="Q463" s="29" t="n">
        <f aca="false">P463+I463</f>
        <v>70</v>
      </c>
    </row>
    <row r="464" customFormat="false" ht="15" hidden="false" customHeight="false" outlineLevel="0" collapsed="false">
      <c r="A464" s="29" t="n">
        <v>463</v>
      </c>
      <c r="B464" s="29" t="n">
        <f aca="false">INDEX(Sprint_Metrics!$F$7:$F$16,RANDBETWEEN(1,ROWS(Sprint_Metrics!$F$7:$F$16)))</f>
        <v>7</v>
      </c>
      <c r="C464" s="29" t="n">
        <f aca="false">INDEX(Sprint_Metrics!$F$7:$F$16,RANDBETWEEN(1,ROWS(Sprint_Metrics!$F$7:$F$16)))</f>
        <v>12</v>
      </c>
      <c r="D464" s="29" t="n">
        <f aca="false">INDEX(Sprint_Metrics!$F$7:$F$16,RANDBETWEEN(1,ROWS(Sprint_Metrics!$F$7:$F$16)))</f>
        <v>7</v>
      </c>
      <c r="E464" s="29" t="n">
        <f aca="false">INDEX(Sprint_Metrics!$F$7:$F$16,RANDBETWEEN(1,ROWS(Sprint_Metrics!$F$7:$F$16)))</f>
        <v>8</v>
      </c>
      <c r="F464" s="29" t="n">
        <f aca="false">INDEX(Sprint_Metrics!$F$7:$F$16,RANDBETWEEN(1,ROWS(Sprint_Metrics!$F$7:$F$16)))</f>
        <v>9</v>
      </c>
      <c r="G464" s="29" t="n">
        <f aca="false">INDEX(Sprint_Metrics!$F$7:$F$16,RANDBETWEEN(1,ROWS(Sprint_Metrics!$F$7:$F$16)))</f>
        <v>9</v>
      </c>
      <c r="H464" s="29" t="n">
        <f aca="false">INDEX(Sprint_Metrics!$F$7:$F$16,RANDBETWEEN(1,ROWS(Sprint_Metrics!$F$7:$F$16)))</f>
        <v>7</v>
      </c>
      <c r="I464" s="29" t="n">
        <f aca="false">INDEX(Sprint_Metrics!$F$7:$F$16,RANDBETWEEN(1,ROWS(Sprint_Metrics!$F$7:$F$16)))</f>
        <v>9</v>
      </c>
      <c r="J464" s="29" t="n">
        <f aca="false">B464</f>
        <v>7</v>
      </c>
      <c r="K464" s="29" t="n">
        <f aca="false">J464+C464</f>
        <v>19</v>
      </c>
      <c r="L464" s="29" t="n">
        <f aca="false">K464+D464</f>
        <v>26</v>
      </c>
      <c r="M464" s="29" t="n">
        <f aca="false">L464+E464</f>
        <v>34</v>
      </c>
      <c r="N464" s="29" t="n">
        <f aca="false">M464+F464</f>
        <v>43</v>
      </c>
      <c r="O464" s="29" t="n">
        <f aca="false">N464+G464</f>
        <v>52</v>
      </c>
      <c r="P464" s="29" t="n">
        <f aca="false">O464+H464</f>
        <v>59</v>
      </c>
      <c r="Q464" s="29" t="n">
        <f aca="false">P464+I464</f>
        <v>68</v>
      </c>
    </row>
    <row r="465" customFormat="false" ht="15" hidden="false" customHeight="false" outlineLevel="0" collapsed="false">
      <c r="A465" s="29" t="n">
        <v>464</v>
      </c>
      <c r="B465" s="29" t="n">
        <f aca="false">INDEX(Sprint_Metrics!$F$7:$F$16,RANDBETWEEN(1,ROWS(Sprint_Metrics!$F$7:$F$16)))</f>
        <v>7</v>
      </c>
      <c r="C465" s="29" t="n">
        <f aca="false">INDEX(Sprint_Metrics!$F$7:$F$16,RANDBETWEEN(1,ROWS(Sprint_Metrics!$F$7:$F$16)))</f>
        <v>12</v>
      </c>
      <c r="D465" s="29" t="n">
        <f aca="false">INDEX(Sprint_Metrics!$F$7:$F$16,RANDBETWEEN(1,ROWS(Sprint_Metrics!$F$7:$F$16)))</f>
        <v>8</v>
      </c>
      <c r="E465" s="29" t="n">
        <f aca="false">INDEX(Sprint_Metrics!$F$7:$F$16,RANDBETWEEN(1,ROWS(Sprint_Metrics!$F$7:$F$16)))</f>
        <v>9</v>
      </c>
      <c r="F465" s="29" t="n">
        <f aca="false">INDEX(Sprint_Metrics!$F$7:$F$16,RANDBETWEEN(1,ROWS(Sprint_Metrics!$F$7:$F$16)))</f>
        <v>12</v>
      </c>
      <c r="G465" s="29" t="n">
        <f aca="false">INDEX(Sprint_Metrics!$F$7:$F$16,RANDBETWEEN(1,ROWS(Sprint_Metrics!$F$7:$F$16)))</f>
        <v>9</v>
      </c>
      <c r="H465" s="29" t="n">
        <f aca="false">INDEX(Sprint_Metrics!$F$7:$F$16,RANDBETWEEN(1,ROWS(Sprint_Metrics!$F$7:$F$16)))</f>
        <v>9</v>
      </c>
      <c r="I465" s="29" t="n">
        <f aca="false">INDEX(Sprint_Metrics!$F$7:$F$16,RANDBETWEEN(1,ROWS(Sprint_Metrics!$F$7:$F$16)))</f>
        <v>8</v>
      </c>
      <c r="J465" s="29" t="n">
        <f aca="false">B465</f>
        <v>7</v>
      </c>
      <c r="K465" s="29" t="n">
        <f aca="false">J465+C465</f>
        <v>19</v>
      </c>
      <c r="L465" s="29" t="n">
        <f aca="false">K465+D465</f>
        <v>27</v>
      </c>
      <c r="M465" s="29" t="n">
        <f aca="false">L465+E465</f>
        <v>36</v>
      </c>
      <c r="N465" s="29" t="n">
        <f aca="false">M465+F465</f>
        <v>48</v>
      </c>
      <c r="O465" s="29" t="n">
        <f aca="false">N465+G465</f>
        <v>57</v>
      </c>
      <c r="P465" s="29" t="n">
        <f aca="false">O465+H465</f>
        <v>66</v>
      </c>
      <c r="Q465" s="29" t="n">
        <f aca="false">P465+I465</f>
        <v>74</v>
      </c>
    </row>
    <row r="466" customFormat="false" ht="15" hidden="false" customHeight="false" outlineLevel="0" collapsed="false">
      <c r="A466" s="29" t="n">
        <v>465</v>
      </c>
      <c r="B466" s="29" t="n">
        <f aca="false">INDEX(Sprint_Metrics!$F$7:$F$16,RANDBETWEEN(1,ROWS(Sprint_Metrics!$F$7:$F$16)))</f>
        <v>11</v>
      </c>
      <c r="C466" s="29" t="n">
        <f aca="false">INDEX(Sprint_Metrics!$F$7:$F$16,RANDBETWEEN(1,ROWS(Sprint_Metrics!$F$7:$F$16)))</f>
        <v>8</v>
      </c>
      <c r="D466" s="29" t="n">
        <f aca="false">INDEX(Sprint_Metrics!$F$7:$F$16,RANDBETWEEN(1,ROWS(Sprint_Metrics!$F$7:$F$16)))</f>
        <v>11</v>
      </c>
      <c r="E466" s="29" t="n">
        <f aca="false">INDEX(Sprint_Metrics!$F$7:$F$16,RANDBETWEEN(1,ROWS(Sprint_Metrics!$F$7:$F$16)))</f>
        <v>8</v>
      </c>
      <c r="F466" s="29" t="n">
        <f aca="false">INDEX(Sprint_Metrics!$F$7:$F$16,RANDBETWEEN(1,ROWS(Sprint_Metrics!$F$7:$F$16)))</f>
        <v>7</v>
      </c>
      <c r="G466" s="29" t="n">
        <f aca="false">INDEX(Sprint_Metrics!$F$7:$F$16,RANDBETWEEN(1,ROWS(Sprint_Metrics!$F$7:$F$16)))</f>
        <v>7</v>
      </c>
      <c r="H466" s="29" t="n">
        <f aca="false">INDEX(Sprint_Metrics!$F$7:$F$16,RANDBETWEEN(1,ROWS(Sprint_Metrics!$F$7:$F$16)))</f>
        <v>11</v>
      </c>
      <c r="I466" s="29" t="n">
        <f aca="false">INDEX(Sprint_Metrics!$F$7:$F$16,RANDBETWEEN(1,ROWS(Sprint_Metrics!$F$7:$F$16)))</f>
        <v>8</v>
      </c>
      <c r="J466" s="29" t="n">
        <f aca="false">B466</f>
        <v>11</v>
      </c>
      <c r="K466" s="29" t="n">
        <f aca="false">J466+C466</f>
        <v>19</v>
      </c>
      <c r="L466" s="29" t="n">
        <f aca="false">K466+D466</f>
        <v>30</v>
      </c>
      <c r="M466" s="29" t="n">
        <f aca="false">L466+E466</f>
        <v>38</v>
      </c>
      <c r="N466" s="29" t="n">
        <f aca="false">M466+F466</f>
        <v>45</v>
      </c>
      <c r="O466" s="29" t="n">
        <f aca="false">N466+G466</f>
        <v>52</v>
      </c>
      <c r="P466" s="29" t="n">
        <f aca="false">O466+H466</f>
        <v>63</v>
      </c>
      <c r="Q466" s="29" t="n">
        <f aca="false">P466+I466</f>
        <v>71</v>
      </c>
    </row>
    <row r="467" customFormat="false" ht="15" hidden="false" customHeight="false" outlineLevel="0" collapsed="false">
      <c r="A467" s="29" t="n">
        <v>466</v>
      </c>
      <c r="B467" s="29" t="n">
        <f aca="false">INDEX(Sprint_Metrics!$F$7:$F$16,RANDBETWEEN(1,ROWS(Sprint_Metrics!$F$7:$F$16)))</f>
        <v>11</v>
      </c>
      <c r="C467" s="29" t="n">
        <f aca="false">INDEX(Sprint_Metrics!$F$7:$F$16,RANDBETWEEN(1,ROWS(Sprint_Metrics!$F$7:$F$16)))</f>
        <v>9</v>
      </c>
      <c r="D467" s="29" t="n">
        <f aca="false">INDEX(Sprint_Metrics!$F$7:$F$16,RANDBETWEEN(1,ROWS(Sprint_Metrics!$F$7:$F$16)))</f>
        <v>7</v>
      </c>
      <c r="E467" s="29" t="n">
        <f aca="false">INDEX(Sprint_Metrics!$F$7:$F$16,RANDBETWEEN(1,ROWS(Sprint_Metrics!$F$7:$F$16)))</f>
        <v>11</v>
      </c>
      <c r="F467" s="29" t="n">
        <f aca="false">INDEX(Sprint_Metrics!$F$7:$F$16,RANDBETWEEN(1,ROWS(Sprint_Metrics!$F$7:$F$16)))</f>
        <v>11</v>
      </c>
      <c r="G467" s="29" t="n">
        <f aca="false">INDEX(Sprint_Metrics!$F$7:$F$16,RANDBETWEEN(1,ROWS(Sprint_Metrics!$F$7:$F$16)))</f>
        <v>8</v>
      </c>
      <c r="H467" s="29" t="n">
        <f aca="false">INDEX(Sprint_Metrics!$F$7:$F$16,RANDBETWEEN(1,ROWS(Sprint_Metrics!$F$7:$F$16)))</f>
        <v>12</v>
      </c>
      <c r="I467" s="29" t="n">
        <f aca="false">INDEX(Sprint_Metrics!$F$7:$F$16,RANDBETWEEN(1,ROWS(Sprint_Metrics!$F$7:$F$16)))</f>
        <v>7</v>
      </c>
      <c r="J467" s="29" t="n">
        <f aca="false">B467</f>
        <v>11</v>
      </c>
      <c r="K467" s="29" t="n">
        <f aca="false">J467+C467</f>
        <v>20</v>
      </c>
      <c r="L467" s="29" t="n">
        <f aca="false">K467+D467</f>
        <v>27</v>
      </c>
      <c r="M467" s="29" t="n">
        <f aca="false">L467+E467</f>
        <v>38</v>
      </c>
      <c r="N467" s="29" t="n">
        <f aca="false">M467+F467</f>
        <v>49</v>
      </c>
      <c r="O467" s="29" t="n">
        <f aca="false">N467+G467</f>
        <v>57</v>
      </c>
      <c r="P467" s="29" t="n">
        <f aca="false">O467+H467</f>
        <v>69</v>
      </c>
      <c r="Q467" s="29" t="n">
        <f aca="false">P467+I467</f>
        <v>76</v>
      </c>
    </row>
    <row r="468" customFormat="false" ht="15" hidden="false" customHeight="false" outlineLevel="0" collapsed="false">
      <c r="A468" s="29" t="n">
        <v>467</v>
      </c>
      <c r="B468" s="29" t="n">
        <f aca="false">INDEX(Sprint_Metrics!$F$7:$F$16,RANDBETWEEN(1,ROWS(Sprint_Metrics!$F$7:$F$16)))</f>
        <v>7</v>
      </c>
      <c r="C468" s="29" t="n">
        <f aca="false">INDEX(Sprint_Metrics!$F$7:$F$16,RANDBETWEEN(1,ROWS(Sprint_Metrics!$F$7:$F$16)))</f>
        <v>7</v>
      </c>
      <c r="D468" s="29" t="n">
        <f aca="false">INDEX(Sprint_Metrics!$F$7:$F$16,RANDBETWEEN(1,ROWS(Sprint_Metrics!$F$7:$F$16)))</f>
        <v>7</v>
      </c>
      <c r="E468" s="29" t="n">
        <f aca="false">INDEX(Sprint_Metrics!$F$7:$F$16,RANDBETWEEN(1,ROWS(Sprint_Metrics!$F$7:$F$16)))</f>
        <v>7</v>
      </c>
      <c r="F468" s="29" t="n">
        <f aca="false">INDEX(Sprint_Metrics!$F$7:$F$16,RANDBETWEEN(1,ROWS(Sprint_Metrics!$F$7:$F$16)))</f>
        <v>8</v>
      </c>
      <c r="G468" s="29" t="n">
        <f aca="false">INDEX(Sprint_Metrics!$F$7:$F$16,RANDBETWEEN(1,ROWS(Sprint_Metrics!$F$7:$F$16)))</f>
        <v>9</v>
      </c>
      <c r="H468" s="29" t="n">
        <f aca="false">INDEX(Sprint_Metrics!$F$7:$F$16,RANDBETWEEN(1,ROWS(Sprint_Metrics!$F$7:$F$16)))</f>
        <v>8</v>
      </c>
      <c r="I468" s="29" t="n">
        <f aca="false">INDEX(Sprint_Metrics!$F$7:$F$16,RANDBETWEEN(1,ROWS(Sprint_Metrics!$F$7:$F$16)))</f>
        <v>9</v>
      </c>
      <c r="J468" s="29" t="n">
        <f aca="false">B468</f>
        <v>7</v>
      </c>
      <c r="K468" s="29" t="n">
        <f aca="false">J468+C468</f>
        <v>14</v>
      </c>
      <c r="L468" s="29" t="n">
        <f aca="false">K468+D468</f>
        <v>21</v>
      </c>
      <c r="M468" s="29" t="n">
        <f aca="false">L468+E468</f>
        <v>28</v>
      </c>
      <c r="N468" s="29" t="n">
        <f aca="false">M468+F468</f>
        <v>36</v>
      </c>
      <c r="O468" s="29" t="n">
        <f aca="false">N468+G468</f>
        <v>45</v>
      </c>
      <c r="P468" s="29" t="n">
        <f aca="false">O468+H468</f>
        <v>53</v>
      </c>
      <c r="Q468" s="29" t="n">
        <f aca="false">P468+I468</f>
        <v>62</v>
      </c>
    </row>
    <row r="469" customFormat="false" ht="15" hidden="false" customHeight="false" outlineLevel="0" collapsed="false">
      <c r="A469" s="29" t="n">
        <v>468</v>
      </c>
      <c r="B469" s="29" t="n">
        <f aca="false">INDEX(Sprint_Metrics!$F$7:$F$16,RANDBETWEEN(1,ROWS(Sprint_Metrics!$F$7:$F$16)))</f>
        <v>11</v>
      </c>
      <c r="C469" s="29" t="n">
        <f aca="false">INDEX(Sprint_Metrics!$F$7:$F$16,RANDBETWEEN(1,ROWS(Sprint_Metrics!$F$7:$F$16)))</f>
        <v>8</v>
      </c>
      <c r="D469" s="29" t="n">
        <f aca="false">INDEX(Sprint_Metrics!$F$7:$F$16,RANDBETWEEN(1,ROWS(Sprint_Metrics!$F$7:$F$16)))</f>
        <v>12</v>
      </c>
      <c r="E469" s="29" t="n">
        <f aca="false">INDEX(Sprint_Metrics!$F$7:$F$16,RANDBETWEEN(1,ROWS(Sprint_Metrics!$F$7:$F$16)))</f>
        <v>9</v>
      </c>
      <c r="F469" s="29" t="n">
        <f aca="false">INDEX(Sprint_Metrics!$F$7:$F$16,RANDBETWEEN(1,ROWS(Sprint_Metrics!$F$7:$F$16)))</f>
        <v>11</v>
      </c>
      <c r="G469" s="29" t="n">
        <f aca="false">INDEX(Sprint_Metrics!$F$7:$F$16,RANDBETWEEN(1,ROWS(Sprint_Metrics!$F$7:$F$16)))</f>
        <v>7</v>
      </c>
      <c r="H469" s="29" t="n">
        <f aca="false">INDEX(Sprint_Metrics!$F$7:$F$16,RANDBETWEEN(1,ROWS(Sprint_Metrics!$F$7:$F$16)))</f>
        <v>11</v>
      </c>
      <c r="I469" s="29" t="n">
        <f aca="false">INDEX(Sprint_Metrics!$F$7:$F$16,RANDBETWEEN(1,ROWS(Sprint_Metrics!$F$7:$F$16)))</f>
        <v>8</v>
      </c>
      <c r="J469" s="29" t="n">
        <f aca="false">B469</f>
        <v>11</v>
      </c>
      <c r="K469" s="29" t="n">
        <f aca="false">J469+C469</f>
        <v>19</v>
      </c>
      <c r="L469" s="29" t="n">
        <f aca="false">K469+D469</f>
        <v>31</v>
      </c>
      <c r="M469" s="29" t="n">
        <f aca="false">L469+E469</f>
        <v>40</v>
      </c>
      <c r="N469" s="29" t="n">
        <f aca="false">M469+F469</f>
        <v>51</v>
      </c>
      <c r="O469" s="29" t="n">
        <f aca="false">N469+G469</f>
        <v>58</v>
      </c>
      <c r="P469" s="29" t="n">
        <f aca="false">O469+H469</f>
        <v>69</v>
      </c>
      <c r="Q469" s="29" t="n">
        <f aca="false">P469+I469</f>
        <v>77</v>
      </c>
    </row>
    <row r="470" customFormat="false" ht="15" hidden="false" customHeight="false" outlineLevel="0" collapsed="false">
      <c r="A470" s="29" t="n">
        <v>469</v>
      </c>
      <c r="B470" s="29" t="n">
        <f aca="false">INDEX(Sprint_Metrics!$F$7:$F$16,RANDBETWEEN(1,ROWS(Sprint_Metrics!$F$7:$F$16)))</f>
        <v>8</v>
      </c>
      <c r="C470" s="29" t="n">
        <f aca="false">INDEX(Sprint_Metrics!$F$7:$F$16,RANDBETWEEN(1,ROWS(Sprint_Metrics!$F$7:$F$16)))</f>
        <v>9</v>
      </c>
      <c r="D470" s="29" t="n">
        <f aca="false">INDEX(Sprint_Metrics!$F$7:$F$16,RANDBETWEEN(1,ROWS(Sprint_Metrics!$F$7:$F$16)))</f>
        <v>7</v>
      </c>
      <c r="E470" s="29" t="n">
        <f aca="false">INDEX(Sprint_Metrics!$F$7:$F$16,RANDBETWEEN(1,ROWS(Sprint_Metrics!$F$7:$F$16)))</f>
        <v>7</v>
      </c>
      <c r="F470" s="29" t="n">
        <f aca="false">INDEX(Sprint_Metrics!$F$7:$F$16,RANDBETWEEN(1,ROWS(Sprint_Metrics!$F$7:$F$16)))</f>
        <v>7</v>
      </c>
      <c r="G470" s="29" t="n">
        <f aca="false">INDEX(Sprint_Metrics!$F$7:$F$16,RANDBETWEEN(1,ROWS(Sprint_Metrics!$F$7:$F$16)))</f>
        <v>7</v>
      </c>
      <c r="H470" s="29" t="n">
        <f aca="false">INDEX(Sprint_Metrics!$F$7:$F$16,RANDBETWEEN(1,ROWS(Sprint_Metrics!$F$7:$F$16)))</f>
        <v>9</v>
      </c>
      <c r="I470" s="29" t="n">
        <f aca="false">INDEX(Sprint_Metrics!$F$7:$F$16,RANDBETWEEN(1,ROWS(Sprint_Metrics!$F$7:$F$16)))</f>
        <v>8</v>
      </c>
      <c r="J470" s="29" t="n">
        <f aca="false">B470</f>
        <v>8</v>
      </c>
      <c r="K470" s="29" t="n">
        <f aca="false">J470+C470</f>
        <v>17</v>
      </c>
      <c r="L470" s="29" t="n">
        <f aca="false">K470+D470</f>
        <v>24</v>
      </c>
      <c r="M470" s="29" t="n">
        <f aca="false">L470+E470</f>
        <v>31</v>
      </c>
      <c r="N470" s="29" t="n">
        <f aca="false">M470+F470</f>
        <v>38</v>
      </c>
      <c r="O470" s="29" t="n">
        <f aca="false">N470+G470</f>
        <v>45</v>
      </c>
      <c r="P470" s="29" t="n">
        <f aca="false">O470+H470</f>
        <v>54</v>
      </c>
      <c r="Q470" s="29" t="n">
        <f aca="false">P470+I470</f>
        <v>62</v>
      </c>
    </row>
    <row r="471" customFormat="false" ht="15" hidden="false" customHeight="false" outlineLevel="0" collapsed="false">
      <c r="A471" s="29" t="n">
        <v>470</v>
      </c>
      <c r="B471" s="29" t="n">
        <f aca="false">INDEX(Sprint_Metrics!$F$7:$F$16,RANDBETWEEN(1,ROWS(Sprint_Metrics!$F$7:$F$16)))</f>
        <v>11</v>
      </c>
      <c r="C471" s="29" t="n">
        <f aca="false">INDEX(Sprint_Metrics!$F$7:$F$16,RANDBETWEEN(1,ROWS(Sprint_Metrics!$F$7:$F$16)))</f>
        <v>8</v>
      </c>
      <c r="D471" s="29" t="n">
        <f aca="false">INDEX(Sprint_Metrics!$F$7:$F$16,RANDBETWEEN(1,ROWS(Sprint_Metrics!$F$7:$F$16)))</f>
        <v>9</v>
      </c>
      <c r="E471" s="29" t="n">
        <f aca="false">INDEX(Sprint_Metrics!$F$7:$F$16,RANDBETWEEN(1,ROWS(Sprint_Metrics!$F$7:$F$16)))</f>
        <v>11</v>
      </c>
      <c r="F471" s="29" t="n">
        <f aca="false">INDEX(Sprint_Metrics!$F$7:$F$16,RANDBETWEEN(1,ROWS(Sprint_Metrics!$F$7:$F$16)))</f>
        <v>7</v>
      </c>
      <c r="G471" s="29" t="n">
        <f aca="false">INDEX(Sprint_Metrics!$F$7:$F$16,RANDBETWEEN(1,ROWS(Sprint_Metrics!$F$7:$F$16)))</f>
        <v>8</v>
      </c>
      <c r="H471" s="29" t="n">
        <f aca="false">INDEX(Sprint_Metrics!$F$7:$F$16,RANDBETWEEN(1,ROWS(Sprint_Metrics!$F$7:$F$16)))</f>
        <v>8</v>
      </c>
      <c r="I471" s="29" t="n">
        <f aca="false">INDEX(Sprint_Metrics!$F$7:$F$16,RANDBETWEEN(1,ROWS(Sprint_Metrics!$F$7:$F$16)))</f>
        <v>11</v>
      </c>
      <c r="J471" s="29" t="n">
        <f aca="false">B471</f>
        <v>11</v>
      </c>
      <c r="K471" s="29" t="n">
        <f aca="false">J471+C471</f>
        <v>19</v>
      </c>
      <c r="L471" s="29" t="n">
        <f aca="false">K471+D471</f>
        <v>28</v>
      </c>
      <c r="M471" s="29" t="n">
        <f aca="false">L471+E471</f>
        <v>39</v>
      </c>
      <c r="N471" s="29" t="n">
        <f aca="false">M471+F471</f>
        <v>46</v>
      </c>
      <c r="O471" s="29" t="n">
        <f aca="false">N471+G471</f>
        <v>54</v>
      </c>
      <c r="P471" s="29" t="n">
        <f aca="false">O471+H471</f>
        <v>62</v>
      </c>
      <c r="Q471" s="29" t="n">
        <f aca="false">P471+I471</f>
        <v>73</v>
      </c>
    </row>
    <row r="472" customFormat="false" ht="15" hidden="false" customHeight="false" outlineLevel="0" collapsed="false">
      <c r="A472" s="29" t="n">
        <v>471</v>
      </c>
      <c r="B472" s="29" t="n">
        <f aca="false">INDEX(Sprint_Metrics!$F$7:$F$16,RANDBETWEEN(1,ROWS(Sprint_Metrics!$F$7:$F$16)))</f>
        <v>11</v>
      </c>
      <c r="C472" s="29" t="n">
        <f aca="false">INDEX(Sprint_Metrics!$F$7:$F$16,RANDBETWEEN(1,ROWS(Sprint_Metrics!$F$7:$F$16)))</f>
        <v>8</v>
      </c>
      <c r="D472" s="29" t="n">
        <f aca="false">INDEX(Sprint_Metrics!$F$7:$F$16,RANDBETWEEN(1,ROWS(Sprint_Metrics!$F$7:$F$16)))</f>
        <v>8</v>
      </c>
      <c r="E472" s="29" t="n">
        <f aca="false">INDEX(Sprint_Metrics!$F$7:$F$16,RANDBETWEEN(1,ROWS(Sprint_Metrics!$F$7:$F$16)))</f>
        <v>7</v>
      </c>
      <c r="F472" s="29" t="n">
        <f aca="false">INDEX(Sprint_Metrics!$F$7:$F$16,RANDBETWEEN(1,ROWS(Sprint_Metrics!$F$7:$F$16)))</f>
        <v>11</v>
      </c>
      <c r="G472" s="29" t="n">
        <f aca="false">INDEX(Sprint_Metrics!$F$7:$F$16,RANDBETWEEN(1,ROWS(Sprint_Metrics!$F$7:$F$16)))</f>
        <v>9</v>
      </c>
      <c r="H472" s="29" t="n">
        <f aca="false">INDEX(Sprint_Metrics!$F$7:$F$16,RANDBETWEEN(1,ROWS(Sprint_Metrics!$F$7:$F$16)))</f>
        <v>8</v>
      </c>
      <c r="I472" s="29" t="n">
        <f aca="false">INDEX(Sprint_Metrics!$F$7:$F$16,RANDBETWEEN(1,ROWS(Sprint_Metrics!$F$7:$F$16)))</f>
        <v>8</v>
      </c>
      <c r="J472" s="29" t="n">
        <f aca="false">B472</f>
        <v>11</v>
      </c>
      <c r="K472" s="29" t="n">
        <f aca="false">J472+C472</f>
        <v>19</v>
      </c>
      <c r="L472" s="29" t="n">
        <f aca="false">K472+D472</f>
        <v>27</v>
      </c>
      <c r="M472" s="29" t="n">
        <f aca="false">L472+E472</f>
        <v>34</v>
      </c>
      <c r="N472" s="29" t="n">
        <f aca="false">M472+F472</f>
        <v>45</v>
      </c>
      <c r="O472" s="29" t="n">
        <f aca="false">N472+G472</f>
        <v>54</v>
      </c>
      <c r="P472" s="29" t="n">
        <f aca="false">O472+H472</f>
        <v>62</v>
      </c>
      <c r="Q472" s="29" t="n">
        <f aca="false">P472+I472</f>
        <v>70</v>
      </c>
    </row>
    <row r="473" customFormat="false" ht="15" hidden="false" customHeight="false" outlineLevel="0" collapsed="false">
      <c r="A473" s="29" t="n">
        <v>472</v>
      </c>
      <c r="B473" s="29" t="n">
        <f aca="false">INDEX(Sprint_Metrics!$F$7:$F$16,RANDBETWEEN(1,ROWS(Sprint_Metrics!$F$7:$F$16)))</f>
        <v>9</v>
      </c>
      <c r="C473" s="29" t="n">
        <f aca="false">INDEX(Sprint_Metrics!$F$7:$F$16,RANDBETWEEN(1,ROWS(Sprint_Metrics!$F$7:$F$16)))</f>
        <v>8</v>
      </c>
      <c r="D473" s="29" t="n">
        <f aca="false">INDEX(Sprint_Metrics!$F$7:$F$16,RANDBETWEEN(1,ROWS(Sprint_Metrics!$F$7:$F$16)))</f>
        <v>8</v>
      </c>
      <c r="E473" s="29" t="n">
        <f aca="false">INDEX(Sprint_Metrics!$F$7:$F$16,RANDBETWEEN(1,ROWS(Sprint_Metrics!$F$7:$F$16)))</f>
        <v>11</v>
      </c>
      <c r="F473" s="29" t="n">
        <f aca="false">INDEX(Sprint_Metrics!$F$7:$F$16,RANDBETWEEN(1,ROWS(Sprint_Metrics!$F$7:$F$16)))</f>
        <v>11</v>
      </c>
      <c r="G473" s="29" t="n">
        <f aca="false">INDEX(Sprint_Metrics!$F$7:$F$16,RANDBETWEEN(1,ROWS(Sprint_Metrics!$F$7:$F$16)))</f>
        <v>8</v>
      </c>
      <c r="H473" s="29" t="n">
        <f aca="false">INDEX(Sprint_Metrics!$F$7:$F$16,RANDBETWEEN(1,ROWS(Sprint_Metrics!$F$7:$F$16)))</f>
        <v>7</v>
      </c>
      <c r="I473" s="29" t="n">
        <f aca="false">INDEX(Sprint_Metrics!$F$7:$F$16,RANDBETWEEN(1,ROWS(Sprint_Metrics!$F$7:$F$16)))</f>
        <v>7</v>
      </c>
      <c r="J473" s="29" t="n">
        <f aca="false">B473</f>
        <v>9</v>
      </c>
      <c r="K473" s="29" t="n">
        <f aca="false">J473+C473</f>
        <v>17</v>
      </c>
      <c r="L473" s="29" t="n">
        <f aca="false">K473+D473</f>
        <v>25</v>
      </c>
      <c r="M473" s="29" t="n">
        <f aca="false">L473+E473</f>
        <v>36</v>
      </c>
      <c r="N473" s="29" t="n">
        <f aca="false">M473+F473</f>
        <v>47</v>
      </c>
      <c r="O473" s="29" t="n">
        <f aca="false">N473+G473</f>
        <v>55</v>
      </c>
      <c r="P473" s="29" t="n">
        <f aca="false">O473+H473</f>
        <v>62</v>
      </c>
      <c r="Q473" s="29" t="n">
        <f aca="false">P473+I473</f>
        <v>69</v>
      </c>
    </row>
    <row r="474" customFormat="false" ht="15" hidden="false" customHeight="false" outlineLevel="0" collapsed="false">
      <c r="A474" s="29" t="n">
        <v>473</v>
      </c>
      <c r="B474" s="29" t="n">
        <f aca="false">INDEX(Sprint_Metrics!$F$7:$F$16,RANDBETWEEN(1,ROWS(Sprint_Metrics!$F$7:$F$16)))</f>
        <v>11</v>
      </c>
      <c r="C474" s="29" t="n">
        <f aca="false">INDEX(Sprint_Metrics!$F$7:$F$16,RANDBETWEEN(1,ROWS(Sprint_Metrics!$F$7:$F$16)))</f>
        <v>12</v>
      </c>
      <c r="D474" s="29" t="n">
        <f aca="false">INDEX(Sprint_Metrics!$F$7:$F$16,RANDBETWEEN(1,ROWS(Sprint_Metrics!$F$7:$F$16)))</f>
        <v>7</v>
      </c>
      <c r="E474" s="29" t="n">
        <f aca="false">INDEX(Sprint_Metrics!$F$7:$F$16,RANDBETWEEN(1,ROWS(Sprint_Metrics!$F$7:$F$16)))</f>
        <v>8</v>
      </c>
      <c r="F474" s="29" t="n">
        <f aca="false">INDEX(Sprint_Metrics!$F$7:$F$16,RANDBETWEEN(1,ROWS(Sprint_Metrics!$F$7:$F$16)))</f>
        <v>8</v>
      </c>
      <c r="G474" s="29" t="n">
        <f aca="false">INDEX(Sprint_Metrics!$F$7:$F$16,RANDBETWEEN(1,ROWS(Sprint_Metrics!$F$7:$F$16)))</f>
        <v>7</v>
      </c>
      <c r="H474" s="29" t="n">
        <f aca="false">INDEX(Sprint_Metrics!$F$7:$F$16,RANDBETWEEN(1,ROWS(Sprint_Metrics!$F$7:$F$16)))</f>
        <v>7</v>
      </c>
      <c r="I474" s="29" t="n">
        <f aca="false">INDEX(Sprint_Metrics!$F$7:$F$16,RANDBETWEEN(1,ROWS(Sprint_Metrics!$F$7:$F$16)))</f>
        <v>12</v>
      </c>
      <c r="J474" s="29" t="n">
        <f aca="false">B474</f>
        <v>11</v>
      </c>
      <c r="K474" s="29" t="n">
        <f aca="false">J474+C474</f>
        <v>23</v>
      </c>
      <c r="L474" s="29" t="n">
        <f aca="false">K474+D474</f>
        <v>30</v>
      </c>
      <c r="M474" s="29" t="n">
        <f aca="false">L474+E474</f>
        <v>38</v>
      </c>
      <c r="N474" s="29" t="n">
        <f aca="false">M474+F474</f>
        <v>46</v>
      </c>
      <c r="O474" s="29" t="n">
        <f aca="false">N474+G474</f>
        <v>53</v>
      </c>
      <c r="P474" s="29" t="n">
        <f aca="false">O474+H474</f>
        <v>60</v>
      </c>
      <c r="Q474" s="29" t="n">
        <f aca="false">P474+I474</f>
        <v>72</v>
      </c>
    </row>
    <row r="475" customFormat="false" ht="15" hidden="false" customHeight="false" outlineLevel="0" collapsed="false">
      <c r="A475" s="29" t="n">
        <v>474</v>
      </c>
      <c r="B475" s="29" t="n">
        <f aca="false">INDEX(Sprint_Metrics!$F$7:$F$16,RANDBETWEEN(1,ROWS(Sprint_Metrics!$F$7:$F$16)))</f>
        <v>9</v>
      </c>
      <c r="C475" s="29" t="n">
        <f aca="false">INDEX(Sprint_Metrics!$F$7:$F$16,RANDBETWEEN(1,ROWS(Sprint_Metrics!$F$7:$F$16)))</f>
        <v>7</v>
      </c>
      <c r="D475" s="29" t="n">
        <f aca="false">INDEX(Sprint_Metrics!$F$7:$F$16,RANDBETWEEN(1,ROWS(Sprint_Metrics!$F$7:$F$16)))</f>
        <v>7</v>
      </c>
      <c r="E475" s="29" t="n">
        <f aca="false">INDEX(Sprint_Metrics!$F$7:$F$16,RANDBETWEEN(1,ROWS(Sprint_Metrics!$F$7:$F$16)))</f>
        <v>8</v>
      </c>
      <c r="F475" s="29" t="n">
        <f aca="false">INDEX(Sprint_Metrics!$F$7:$F$16,RANDBETWEEN(1,ROWS(Sprint_Metrics!$F$7:$F$16)))</f>
        <v>8</v>
      </c>
      <c r="G475" s="29" t="n">
        <f aca="false">INDEX(Sprint_Metrics!$F$7:$F$16,RANDBETWEEN(1,ROWS(Sprint_Metrics!$F$7:$F$16)))</f>
        <v>7</v>
      </c>
      <c r="H475" s="29" t="n">
        <f aca="false">INDEX(Sprint_Metrics!$F$7:$F$16,RANDBETWEEN(1,ROWS(Sprint_Metrics!$F$7:$F$16)))</f>
        <v>9</v>
      </c>
      <c r="I475" s="29" t="n">
        <f aca="false">INDEX(Sprint_Metrics!$F$7:$F$16,RANDBETWEEN(1,ROWS(Sprint_Metrics!$F$7:$F$16)))</f>
        <v>7</v>
      </c>
      <c r="J475" s="29" t="n">
        <f aca="false">B475</f>
        <v>9</v>
      </c>
      <c r="K475" s="29" t="n">
        <f aca="false">J475+C475</f>
        <v>16</v>
      </c>
      <c r="L475" s="29" t="n">
        <f aca="false">K475+D475</f>
        <v>23</v>
      </c>
      <c r="M475" s="29" t="n">
        <f aca="false">L475+E475</f>
        <v>31</v>
      </c>
      <c r="N475" s="29" t="n">
        <f aca="false">M475+F475</f>
        <v>39</v>
      </c>
      <c r="O475" s="29" t="n">
        <f aca="false">N475+G475</f>
        <v>46</v>
      </c>
      <c r="P475" s="29" t="n">
        <f aca="false">O475+H475</f>
        <v>55</v>
      </c>
      <c r="Q475" s="29" t="n">
        <f aca="false">P475+I475</f>
        <v>62</v>
      </c>
    </row>
    <row r="476" customFormat="false" ht="15" hidden="false" customHeight="false" outlineLevel="0" collapsed="false">
      <c r="A476" s="29" t="n">
        <v>475</v>
      </c>
      <c r="B476" s="29" t="n">
        <f aca="false">INDEX(Sprint_Metrics!$F$7:$F$16,RANDBETWEEN(1,ROWS(Sprint_Metrics!$F$7:$F$16)))</f>
        <v>8</v>
      </c>
      <c r="C476" s="29" t="n">
        <f aca="false">INDEX(Sprint_Metrics!$F$7:$F$16,RANDBETWEEN(1,ROWS(Sprint_Metrics!$F$7:$F$16)))</f>
        <v>11</v>
      </c>
      <c r="D476" s="29" t="n">
        <f aca="false">INDEX(Sprint_Metrics!$F$7:$F$16,RANDBETWEEN(1,ROWS(Sprint_Metrics!$F$7:$F$16)))</f>
        <v>9</v>
      </c>
      <c r="E476" s="29" t="n">
        <f aca="false">INDEX(Sprint_Metrics!$F$7:$F$16,RANDBETWEEN(1,ROWS(Sprint_Metrics!$F$7:$F$16)))</f>
        <v>8</v>
      </c>
      <c r="F476" s="29" t="n">
        <f aca="false">INDEX(Sprint_Metrics!$F$7:$F$16,RANDBETWEEN(1,ROWS(Sprint_Metrics!$F$7:$F$16)))</f>
        <v>7</v>
      </c>
      <c r="G476" s="29" t="n">
        <f aca="false">INDEX(Sprint_Metrics!$F$7:$F$16,RANDBETWEEN(1,ROWS(Sprint_Metrics!$F$7:$F$16)))</f>
        <v>9</v>
      </c>
      <c r="H476" s="29" t="n">
        <f aca="false">INDEX(Sprint_Metrics!$F$7:$F$16,RANDBETWEEN(1,ROWS(Sprint_Metrics!$F$7:$F$16)))</f>
        <v>9</v>
      </c>
      <c r="I476" s="29" t="n">
        <f aca="false">INDEX(Sprint_Metrics!$F$7:$F$16,RANDBETWEEN(1,ROWS(Sprint_Metrics!$F$7:$F$16)))</f>
        <v>7</v>
      </c>
      <c r="J476" s="29" t="n">
        <f aca="false">B476</f>
        <v>8</v>
      </c>
      <c r="K476" s="29" t="n">
        <f aca="false">J476+C476</f>
        <v>19</v>
      </c>
      <c r="L476" s="29" t="n">
        <f aca="false">K476+D476</f>
        <v>28</v>
      </c>
      <c r="M476" s="29" t="n">
        <f aca="false">L476+E476</f>
        <v>36</v>
      </c>
      <c r="N476" s="29" t="n">
        <f aca="false">M476+F476</f>
        <v>43</v>
      </c>
      <c r="O476" s="29" t="n">
        <f aca="false">N476+G476</f>
        <v>52</v>
      </c>
      <c r="P476" s="29" t="n">
        <f aca="false">O476+H476</f>
        <v>61</v>
      </c>
      <c r="Q476" s="29" t="n">
        <f aca="false">P476+I476</f>
        <v>68</v>
      </c>
    </row>
    <row r="477" customFormat="false" ht="15" hidden="false" customHeight="false" outlineLevel="0" collapsed="false">
      <c r="A477" s="29" t="n">
        <v>476</v>
      </c>
      <c r="B477" s="29" t="n">
        <f aca="false">INDEX(Sprint_Metrics!$F$7:$F$16,RANDBETWEEN(1,ROWS(Sprint_Metrics!$F$7:$F$16)))</f>
        <v>9</v>
      </c>
      <c r="C477" s="29" t="n">
        <f aca="false">INDEX(Sprint_Metrics!$F$7:$F$16,RANDBETWEEN(1,ROWS(Sprint_Metrics!$F$7:$F$16)))</f>
        <v>11</v>
      </c>
      <c r="D477" s="29" t="n">
        <f aca="false">INDEX(Sprint_Metrics!$F$7:$F$16,RANDBETWEEN(1,ROWS(Sprint_Metrics!$F$7:$F$16)))</f>
        <v>7</v>
      </c>
      <c r="E477" s="29" t="n">
        <f aca="false">INDEX(Sprint_Metrics!$F$7:$F$16,RANDBETWEEN(1,ROWS(Sprint_Metrics!$F$7:$F$16)))</f>
        <v>11</v>
      </c>
      <c r="F477" s="29" t="n">
        <f aca="false">INDEX(Sprint_Metrics!$F$7:$F$16,RANDBETWEEN(1,ROWS(Sprint_Metrics!$F$7:$F$16)))</f>
        <v>7</v>
      </c>
      <c r="G477" s="29" t="n">
        <f aca="false">INDEX(Sprint_Metrics!$F$7:$F$16,RANDBETWEEN(1,ROWS(Sprint_Metrics!$F$7:$F$16)))</f>
        <v>8</v>
      </c>
      <c r="H477" s="29" t="n">
        <f aca="false">INDEX(Sprint_Metrics!$F$7:$F$16,RANDBETWEEN(1,ROWS(Sprint_Metrics!$F$7:$F$16)))</f>
        <v>8</v>
      </c>
      <c r="I477" s="29" t="n">
        <f aca="false">INDEX(Sprint_Metrics!$F$7:$F$16,RANDBETWEEN(1,ROWS(Sprint_Metrics!$F$7:$F$16)))</f>
        <v>8</v>
      </c>
      <c r="J477" s="29" t="n">
        <f aca="false">B477</f>
        <v>9</v>
      </c>
      <c r="K477" s="29" t="n">
        <f aca="false">J477+C477</f>
        <v>20</v>
      </c>
      <c r="L477" s="29" t="n">
        <f aca="false">K477+D477</f>
        <v>27</v>
      </c>
      <c r="M477" s="29" t="n">
        <f aca="false">L477+E477</f>
        <v>38</v>
      </c>
      <c r="N477" s="29" t="n">
        <f aca="false">M477+F477</f>
        <v>45</v>
      </c>
      <c r="O477" s="29" t="n">
        <f aca="false">N477+G477</f>
        <v>53</v>
      </c>
      <c r="P477" s="29" t="n">
        <f aca="false">O477+H477</f>
        <v>61</v>
      </c>
      <c r="Q477" s="29" t="n">
        <f aca="false">P477+I477</f>
        <v>69</v>
      </c>
    </row>
    <row r="478" customFormat="false" ht="15" hidden="false" customHeight="false" outlineLevel="0" collapsed="false">
      <c r="A478" s="29" t="n">
        <v>477</v>
      </c>
      <c r="B478" s="29" t="n">
        <f aca="false">INDEX(Sprint_Metrics!$F$7:$F$16,RANDBETWEEN(1,ROWS(Sprint_Metrics!$F$7:$F$16)))</f>
        <v>8</v>
      </c>
      <c r="C478" s="29" t="n">
        <f aca="false">INDEX(Sprint_Metrics!$F$7:$F$16,RANDBETWEEN(1,ROWS(Sprint_Metrics!$F$7:$F$16)))</f>
        <v>11</v>
      </c>
      <c r="D478" s="29" t="n">
        <f aca="false">INDEX(Sprint_Metrics!$F$7:$F$16,RANDBETWEEN(1,ROWS(Sprint_Metrics!$F$7:$F$16)))</f>
        <v>9</v>
      </c>
      <c r="E478" s="29" t="n">
        <f aca="false">INDEX(Sprint_Metrics!$F$7:$F$16,RANDBETWEEN(1,ROWS(Sprint_Metrics!$F$7:$F$16)))</f>
        <v>8</v>
      </c>
      <c r="F478" s="29" t="n">
        <f aca="false">INDEX(Sprint_Metrics!$F$7:$F$16,RANDBETWEEN(1,ROWS(Sprint_Metrics!$F$7:$F$16)))</f>
        <v>7</v>
      </c>
      <c r="G478" s="29" t="n">
        <f aca="false">INDEX(Sprint_Metrics!$F$7:$F$16,RANDBETWEEN(1,ROWS(Sprint_Metrics!$F$7:$F$16)))</f>
        <v>8</v>
      </c>
      <c r="H478" s="29" t="n">
        <f aca="false">INDEX(Sprint_Metrics!$F$7:$F$16,RANDBETWEEN(1,ROWS(Sprint_Metrics!$F$7:$F$16)))</f>
        <v>11</v>
      </c>
      <c r="I478" s="29" t="n">
        <f aca="false">INDEX(Sprint_Metrics!$F$7:$F$16,RANDBETWEEN(1,ROWS(Sprint_Metrics!$F$7:$F$16)))</f>
        <v>8</v>
      </c>
      <c r="J478" s="29" t="n">
        <f aca="false">B478</f>
        <v>8</v>
      </c>
      <c r="K478" s="29" t="n">
        <f aca="false">J478+C478</f>
        <v>19</v>
      </c>
      <c r="L478" s="29" t="n">
        <f aca="false">K478+D478</f>
        <v>28</v>
      </c>
      <c r="M478" s="29" t="n">
        <f aca="false">L478+E478</f>
        <v>36</v>
      </c>
      <c r="N478" s="29" t="n">
        <f aca="false">M478+F478</f>
        <v>43</v>
      </c>
      <c r="O478" s="29" t="n">
        <f aca="false">N478+G478</f>
        <v>51</v>
      </c>
      <c r="P478" s="29" t="n">
        <f aca="false">O478+H478</f>
        <v>62</v>
      </c>
      <c r="Q478" s="29" t="n">
        <f aca="false">P478+I478</f>
        <v>70</v>
      </c>
    </row>
    <row r="479" customFormat="false" ht="15" hidden="false" customHeight="false" outlineLevel="0" collapsed="false">
      <c r="A479" s="29" t="n">
        <v>478</v>
      </c>
      <c r="B479" s="29" t="n">
        <f aca="false">INDEX(Sprint_Metrics!$F$7:$F$16,RANDBETWEEN(1,ROWS(Sprint_Metrics!$F$7:$F$16)))</f>
        <v>7</v>
      </c>
      <c r="C479" s="29" t="n">
        <f aca="false">INDEX(Sprint_Metrics!$F$7:$F$16,RANDBETWEEN(1,ROWS(Sprint_Metrics!$F$7:$F$16)))</f>
        <v>12</v>
      </c>
      <c r="D479" s="29" t="n">
        <f aca="false">INDEX(Sprint_Metrics!$F$7:$F$16,RANDBETWEEN(1,ROWS(Sprint_Metrics!$F$7:$F$16)))</f>
        <v>11</v>
      </c>
      <c r="E479" s="29" t="n">
        <f aca="false">INDEX(Sprint_Metrics!$F$7:$F$16,RANDBETWEEN(1,ROWS(Sprint_Metrics!$F$7:$F$16)))</f>
        <v>9</v>
      </c>
      <c r="F479" s="29" t="n">
        <f aca="false">INDEX(Sprint_Metrics!$F$7:$F$16,RANDBETWEEN(1,ROWS(Sprint_Metrics!$F$7:$F$16)))</f>
        <v>8</v>
      </c>
      <c r="G479" s="29" t="n">
        <f aca="false">INDEX(Sprint_Metrics!$F$7:$F$16,RANDBETWEEN(1,ROWS(Sprint_Metrics!$F$7:$F$16)))</f>
        <v>7</v>
      </c>
      <c r="H479" s="29" t="n">
        <f aca="false">INDEX(Sprint_Metrics!$F$7:$F$16,RANDBETWEEN(1,ROWS(Sprint_Metrics!$F$7:$F$16)))</f>
        <v>9</v>
      </c>
      <c r="I479" s="29" t="n">
        <f aca="false">INDEX(Sprint_Metrics!$F$7:$F$16,RANDBETWEEN(1,ROWS(Sprint_Metrics!$F$7:$F$16)))</f>
        <v>7</v>
      </c>
      <c r="J479" s="29" t="n">
        <f aca="false">B479</f>
        <v>7</v>
      </c>
      <c r="K479" s="29" t="n">
        <f aca="false">J479+C479</f>
        <v>19</v>
      </c>
      <c r="L479" s="29" t="n">
        <f aca="false">K479+D479</f>
        <v>30</v>
      </c>
      <c r="M479" s="29" t="n">
        <f aca="false">L479+E479</f>
        <v>39</v>
      </c>
      <c r="N479" s="29" t="n">
        <f aca="false">M479+F479</f>
        <v>47</v>
      </c>
      <c r="O479" s="29" t="n">
        <f aca="false">N479+G479</f>
        <v>54</v>
      </c>
      <c r="P479" s="29" t="n">
        <f aca="false">O479+H479</f>
        <v>63</v>
      </c>
      <c r="Q479" s="29" t="n">
        <f aca="false">P479+I479</f>
        <v>70</v>
      </c>
    </row>
    <row r="480" customFormat="false" ht="15" hidden="false" customHeight="false" outlineLevel="0" collapsed="false">
      <c r="A480" s="29" t="n">
        <v>479</v>
      </c>
      <c r="B480" s="29" t="n">
        <f aca="false">INDEX(Sprint_Metrics!$F$7:$F$16,RANDBETWEEN(1,ROWS(Sprint_Metrics!$F$7:$F$16)))</f>
        <v>11</v>
      </c>
      <c r="C480" s="29" t="n">
        <f aca="false">INDEX(Sprint_Metrics!$F$7:$F$16,RANDBETWEEN(1,ROWS(Sprint_Metrics!$F$7:$F$16)))</f>
        <v>9</v>
      </c>
      <c r="D480" s="29" t="n">
        <f aca="false">INDEX(Sprint_Metrics!$F$7:$F$16,RANDBETWEEN(1,ROWS(Sprint_Metrics!$F$7:$F$16)))</f>
        <v>7</v>
      </c>
      <c r="E480" s="29" t="n">
        <f aca="false">INDEX(Sprint_Metrics!$F$7:$F$16,RANDBETWEEN(1,ROWS(Sprint_Metrics!$F$7:$F$16)))</f>
        <v>8</v>
      </c>
      <c r="F480" s="29" t="n">
        <f aca="false">INDEX(Sprint_Metrics!$F$7:$F$16,RANDBETWEEN(1,ROWS(Sprint_Metrics!$F$7:$F$16)))</f>
        <v>8</v>
      </c>
      <c r="G480" s="29" t="n">
        <f aca="false">INDEX(Sprint_Metrics!$F$7:$F$16,RANDBETWEEN(1,ROWS(Sprint_Metrics!$F$7:$F$16)))</f>
        <v>11</v>
      </c>
      <c r="H480" s="29" t="n">
        <f aca="false">INDEX(Sprint_Metrics!$F$7:$F$16,RANDBETWEEN(1,ROWS(Sprint_Metrics!$F$7:$F$16)))</f>
        <v>9</v>
      </c>
      <c r="I480" s="29" t="n">
        <f aca="false">INDEX(Sprint_Metrics!$F$7:$F$16,RANDBETWEEN(1,ROWS(Sprint_Metrics!$F$7:$F$16)))</f>
        <v>11</v>
      </c>
      <c r="J480" s="29" t="n">
        <f aca="false">B480</f>
        <v>11</v>
      </c>
      <c r="K480" s="29" t="n">
        <f aca="false">J480+C480</f>
        <v>20</v>
      </c>
      <c r="L480" s="29" t="n">
        <f aca="false">K480+D480</f>
        <v>27</v>
      </c>
      <c r="M480" s="29" t="n">
        <f aca="false">L480+E480</f>
        <v>35</v>
      </c>
      <c r="N480" s="29" t="n">
        <f aca="false">M480+F480</f>
        <v>43</v>
      </c>
      <c r="O480" s="29" t="n">
        <f aca="false">N480+G480</f>
        <v>54</v>
      </c>
      <c r="P480" s="29" t="n">
        <f aca="false">O480+H480</f>
        <v>63</v>
      </c>
      <c r="Q480" s="29" t="n">
        <f aca="false">P480+I480</f>
        <v>74</v>
      </c>
    </row>
    <row r="481" customFormat="false" ht="15" hidden="false" customHeight="false" outlineLevel="0" collapsed="false">
      <c r="A481" s="29" t="n">
        <v>480</v>
      </c>
      <c r="B481" s="29" t="n">
        <f aca="false">INDEX(Sprint_Metrics!$F$7:$F$16,RANDBETWEEN(1,ROWS(Sprint_Metrics!$F$7:$F$16)))</f>
        <v>8</v>
      </c>
      <c r="C481" s="29" t="n">
        <f aca="false">INDEX(Sprint_Metrics!$F$7:$F$16,RANDBETWEEN(1,ROWS(Sprint_Metrics!$F$7:$F$16)))</f>
        <v>8</v>
      </c>
      <c r="D481" s="29" t="n">
        <f aca="false">INDEX(Sprint_Metrics!$F$7:$F$16,RANDBETWEEN(1,ROWS(Sprint_Metrics!$F$7:$F$16)))</f>
        <v>9</v>
      </c>
      <c r="E481" s="29" t="n">
        <f aca="false">INDEX(Sprint_Metrics!$F$7:$F$16,RANDBETWEEN(1,ROWS(Sprint_Metrics!$F$7:$F$16)))</f>
        <v>11</v>
      </c>
      <c r="F481" s="29" t="n">
        <f aca="false">INDEX(Sprint_Metrics!$F$7:$F$16,RANDBETWEEN(1,ROWS(Sprint_Metrics!$F$7:$F$16)))</f>
        <v>8</v>
      </c>
      <c r="G481" s="29" t="n">
        <f aca="false">INDEX(Sprint_Metrics!$F$7:$F$16,RANDBETWEEN(1,ROWS(Sprint_Metrics!$F$7:$F$16)))</f>
        <v>8</v>
      </c>
      <c r="H481" s="29" t="n">
        <f aca="false">INDEX(Sprint_Metrics!$F$7:$F$16,RANDBETWEEN(1,ROWS(Sprint_Metrics!$F$7:$F$16)))</f>
        <v>9</v>
      </c>
      <c r="I481" s="29" t="n">
        <f aca="false">INDEX(Sprint_Metrics!$F$7:$F$16,RANDBETWEEN(1,ROWS(Sprint_Metrics!$F$7:$F$16)))</f>
        <v>7</v>
      </c>
      <c r="J481" s="29" t="n">
        <f aca="false">B481</f>
        <v>8</v>
      </c>
      <c r="K481" s="29" t="n">
        <f aca="false">J481+C481</f>
        <v>16</v>
      </c>
      <c r="L481" s="29" t="n">
        <f aca="false">K481+D481</f>
        <v>25</v>
      </c>
      <c r="M481" s="29" t="n">
        <f aca="false">L481+E481</f>
        <v>36</v>
      </c>
      <c r="N481" s="29" t="n">
        <f aca="false">M481+F481</f>
        <v>44</v>
      </c>
      <c r="O481" s="29" t="n">
        <f aca="false">N481+G481</f>
        <v>52</v>
      </c>
      <c r="P481" s="29" t="n">
        <f aca="false">O481+H481</f>
        <v>61</v>
      </c>
      <c r="Q481" s="29" t="n">
        <f aca="false">P481+I481</f>
        <v>68</v>
      </c>
    </row>
    <row r="482" customFormat="false" ht="15" hidden="false" customHeight="false" outlineLevel="0" collapsed="false">
      <c r="A482" s="29" t="n">
        <v>481</v>
      </c>
      <c r="B482" s="29" t="n">
        <f aca="false">INDEX(Sprint_Metrics!$F$7:$F$16,RANDBETWEEN(1,ROWS(Sprint_Metrics!$F$7:$F$16)))</f>
        <v>9</v>
      </c>
      <c r="C482" s="29" t="n">
        <f aca="false">INDEX(Sprint_Metrics!$F$7:$F$16,RANDBETWEEN(1,ROWS(Sprint_Metrics!$F$7:$F$16)))</f>
        <v>8</v>
      </c>
      <c r="D482" s="29" t="n">
        <f aca="false">INDEX(Sprint_Metrics!$F$7:$F$16,RANDBETWEEN(1,ROWS(Sprint_Metrics!$F$7:$F$16)))</f>
        <v>11</v>
      </c>
      <c r="E482" s="29" t="n">
        <f aca="false">INDEX(Sprint_Metrics!$F$7:$F$16,RANDBETWEEN(1,ROWS(Sprint_Metrics!$F$7:$F$16)))</f>
        <v>8</v>
      </c>
      <c r="F482" s="29" t="n">
        <f aca="false">INDEX(Sprint_Metrics!$F$7:$F$16,RANDBETWEEN(1,ROWS(Sprint_Metrics!$F$7:$F$16)))</f>
        <v>7</v>
      </c>
      <c r="G482" s="29" t="n">
        <f aca="false">INDEX(Sprint_Metrics!$F$7:$F$16,RANDBETWEEN(1,ROWS(Sprint_Metrics!$F$7:$F$16)))</f>
        <v>9</v>
      </c>
      <c r="H482" s="29" t="n">
        <f aca="false">INDEX(Sprint_Metrics!$F$7:$F$16,RANDBETWEEN(1,ROWS(Sprint_Metrics!$F$7:$F$16)))</f>
        <v>11</v>
      </c>
      <c r="I482" s="29" t="n">
        <f aca="false">INDEX(Sprint_Metrics!$F$7:$F$16,RANDBETWEEN(1,ROWS(Sprint_Metrics!$F$7:$F$16)))</f>
        <v>9</v>
      </c>
      <c r="J482" s="29" t="n">
        <f aca="false">B482</f>
        <v>9</v>
      </c>
      <c r="K482" s="29" t="n">
        <f aca="false">J482+C482</f>
        <v>17</v>
      </c>
      <c r="L482" s="29" t="n">
        <f aca="false">K482+D482</f>
        <v>28</v>
      </c>
      <c r="M482" s="29" t="n">
        <f aca="false">L482+E482</f>
        <v>36</v>
      </c>
      <c r="N482" s="29" t="n">
        <f aca="false">M482+F482</f>
        <v>43</v>
      </c>
      <c r="O482" s="29" t="n">
        <f aca="false">N482+G482</f>
        <v>52</v>
      </c>
      <c r="P482" s="29" t="n">
        <f aca="false">O482+H482</f>
        <v>63</v>
      </c>
      <c r="Q482" s="29" t="n">
        <f aca="false">P482+I482</f>
        <v>72</v>
      </c>
    </row>
    <row r="483" customFormat="false" ht="15" hidden="false" customHeight="false" outlineLevel="0" collapsed="false">
      <c r="A483" s="29" t="n">
        <v>482</v>
      </c>
      <c r="B483" s="29" t="n">
        <f aca="false">INDEX(Sprint_Metrics!$F$7:$F$16,RANDBETWEEN(1,ROWS(Sprint_Metrics!$F$7:$F$16)))</f>
        <v>8</v>
      </c>
      <c r="C483" s="29" t="n">
        <f aca="false">INDEX(Sprint_Metrics!$F$7:$F$16,RANDBETWEEN(1,ROWS(Sprint_Metrics!$F$7:$F$16)))</f>
        <v>8</v>
      </c>
      <c r="D483" s="29" t="n">
        <f aca="false">INDEX(Sprint_Metrics!$F$7:$F$16,RANDBETWEEN(1,ROWS(Sprint_Metrics!$F$7:$F$16)))</f>
        <v>8</v>
      </c>
      <c r="E483" s="29" t="n">
        <f aca="false">INDEX(Sprint_Metrics!$F$7:$F$16,RANDBETWEEN(1,ROWS(Sprint_Metrics!$F$7:$F$16)))</f>
        <v>9</v>
      </c>
      <c r="F483" s="29" t="n">
        <f aca="false">INDEX(Sprint_Metrics!$F$7:$F$16,RANDBETWEEN(1,ROWS(Sprint_Metrics!$F$7:$F$16)))</f>
        <v>8</v>
      </c>
      <c r="G483" s="29" t="n">
        <f aca="false">INDEX(Sprint_Metrics!$F$7:$F$16,RANDBETWEEN(1,ROWS(Sprint_Metrics!$F$7:$F$16)))</f>
        <v>11</v>
      </c>
      <c r="H483" s="29" t="n">
        <f aca="false">INDEX(Sprint_Metrics!$F$7:$F$16,RANDBETWEEN(1,ROWS(Sprint_Metrics!$F$7:$F$16)))</f>
        <v>7</v>
      </c>
      <c r="I483" s="29" t="n">
        <f aca="false">INDEX(Sprint_Metrics!$F$7:$F$16,RANDBETWEEN(1,ROWS(Sprint_Metrics!$F$7:$F$16)))</f>
        <v>11</v>
      </c>
      <c r="J483" s="29" t="n">
        <f aca="false">B483</f>
        <v>8</v>
      </c>
      <c r="K483" s="29" t="n">
        <f aca="false">J483+C483</f>
        <v>16</v>
      </c>
      <c r="L483" s="29" t="n">
        <f aca="false">K483+D483</f>
        <v>24</v>
      </c>
      <c r="M483" s="29" t="n">
        <f aca="false">L483+E483</f>
        <v>33</v>
      </c>
      <c r="N483" s="29" t="n">
        <f aca="false">M483+F483</f>
        <v>41</v>
      </c>
      <c r="O483" s="29" t="n">
        <f aca="false">N483+G483</f>
        <v>52</v>
      </c>
      <c r="P483" s="29" t="n">
        <f aca="false">O483+H483</f>
        <v>59</v>
      </c>
      <c r="Q483" s="29" t="n">
        <f aca="false">P483+I483</f>
        <v>70</v>
      </c>
    </row>
    <row r="484" customFormat="false" ht="15" hidden="false" customHeight="false" outlineLevel="0" collapsed="false">
      <c r="A484" s="29" t="n">
        <v>483</v>
      </c>
      <c r="B484" s="29" t="n">
        <f aca="false">INDEX(Sprint_Metrics!$F$7:$F$16,RANDBETWEEN(1,ROWS(Sprint_Metrics!$F$7:$F$16)))</f>
        <v>8</v>
      </c>
      <c r="C484" s="29" t="n">
        <f aca="false">INDEX(Sprint_Metrics!$F$7:$F$16,RANDBETWEEN(1,ROWS(Sprint_Metrics!$F$7:$F$16)))</f>
        <v>8</v>
      </c>
      <c r="D484" s="29" t="n">
        <f aca="false">INDEX(Sprint_Metrics!$F$7:$F$16,RANDBETWEEN(1,ROWS(Sprint_Metrics!$F$7:$F$16)))</f>
        <v>7</v>
      </c>
      <c r="E484" s="29" t="n">
        <f aca="false">INDEX(Sprint_Metrics!$F$7:$F$16,RANDBETWEEN(1,ROWS(Sprint_Metrics!$F$7:$F$16)))</f>
        <v>8</v>
      </c>
      <c r="F484" s="29" t="n">
        <f aca="false">INDEX(Sprint_Metrics!$F$7:$F$16,RANDBETWEEN(1,ROWS(Sprint_Metrics!$F$7:$F$16)))</f>
        <v>7</v>
      </c>
      <c r="G484" s="29" t="n">
        <f aca="false">INDEX(Sprint_Metrics!$F$7:$F$16,RANDBETWEEN(1,ROWS(Sprint_Metrics!$F$7:$F$16)))</f>
        <v>9</v>
      </c>
      <c r="H484" s="29" t="n">
        <f aca="false">INDEX(Sprint_Metrics!$F$7:$F$16,RANDBETWEEN(1,ROWS(Sprint_Metrics!$F$7:$F$16)))</f>
        <v>8</v>
      </c>
      <c r="I484" s="29" t="n">
        <f aca="false">INDEX(Sprint_Metrics!$F$7:$F$16,RANDBETWEEN(1,ROWS(Sprint_Metrics!$F$7:$F$16)))</f>
        <v>12</v>
      </c>
      <c r="J484" s="29" t="n">
        <f aca="false">B484</f>
        <v>8</v>
      </c>
      <c r="K484" s="29" t="n">
        <f aca="false">J484+C484</f>
        <v>16</v>
      </c>
      <c r="L484" s="29" t="n">
        <f aca="false">K484+D484</f>
        <v>23</v>
      </c>
      <c r="M484" s="29" t="n">
        <f aca="false">L484+E484</f>
        <v>31</v>
      </c>
      <c r="N484" s="29" t="n">
        <f aca="false">M484+F484</f>
        <v>38</v>
      </c>
      <c r="O484" s="29" t="n">
        <f aca="false">N484+G484</f>
        <v>47</v>
      </c>
      <c r="P484" s="29" t="n">
        <f aca="false">O484+H484</f>
        <v>55</v>
      </c>
      <c r="Q484" s="29" t="n">
        <f aca="false">P484+I484</f>
        <v>67</v>
      </c>
    </row>
    <row r="485" customFormat="false" ht="15" hidden="false" customHeight="false" outlineLevel="0" collapsed="false">
      <c r="A485" s="29" t="n">
        <v>484</v>
      </c>
      <c r="B485" s="29" t="n">
        <f aca="false">INDEX(Sprint_Metrics!$F$7:$F$16,RANDBETWEEN(1,ROWS(Sprint_Metrics!$F$7:$F$16)))</f>
        <v>9</v>
      </c>
      <c r="C485" s="29" t="n">
        <f aca="false">INDEX(Sprint_Metrics!$F$7:$F$16,RANDBETWEEN(1,ROWS(Sprint_Metrics!$F$7:$F$16)))</f>
        <v>8</v>
      </c>
      <c r="D485" s="29" t="n">
        <f aca="false">INDEX(Sprint_Metrics!$F$7:$F$16,RANDBETWEEN(1,ROWS(Sprint_Metrics!$F$7:$F$16)))</f>
        <v>9</v>
      </c>
      <c r="E485" s="29" t="n">
        <f aca="false">INDEX(Sprint_Metrics!$F$7:$F$16,RANDBETWEEN(1,ROWS(Sprint_Metrics!$F$7:$F$16)))</f>
        <v>9</v>
      </c>
      <c r="F485" s="29" t="n">
        <f aca="false">INDEX(Sprint_Metrics!$F$7:$F$16,RANDBETWEEN(1,ROWS(Sprint_Metrics!$F$7:$F$16)))</f>
        <v>8</v>
      </c>
      <c r="G485" s="29" t="n">
        <f aca="false">INDEX(Sprint_Metrics!$F$7:$F$16,RANDBETWEEN(1,ROWS(Sprint_Metrics!$F$7:$F$16)))</f>
        <v>8</v>
      </c>
      <c r="H485" s="29" t="n">
        <f aca="false">INDEX(Sprint_Metrics!$F$7:$F$16,RANDBETWEEN(1,ROWS(Sprint_Metrics!$F$7:$F$16)))</f>
        <v>8</v>
      </c>
      <c r="I485" s="29" t="n">
        <f aca="false">INDEX(Sprint_Metrics!$F$7:$F$16,RANDBETWEEN(1,ROWS(Sprint_Metrics!$F$7:$F$16)))</f>
        <v>7</v>
      </c>
      <c r="J485" s="29" t="n">
        <f aca="false">B485</f>
        <v>9</v>
      </c>
      <c r="K485" s="29" t="n">
        <f aca="false">J485+C485</f>
        <v>17</v>
      </c>
      <c r="L485" s="29" t="n">
        <f aca="false">K485+D485</f>
        <v>26</v>
      </c>
      <c r="M485" s="29" t="n">
        <f aca="false">L485+E485</f>
        <v>35</v>
      </c>
      <c r="N485" s="29" t="n">
        <f aca="false">M485+F485</f>
        <v>43</v>
      </c>
      <c r="O485" s="29" t="n">
        <f aca="false">N485+G485</f>
        <v>51</v>
      </c>
      <c r="P485" s="29" t="n">
        <f aca="false">O485+H485</f>
        <v>59</v>
      </c>
      <c r="Q485" s="29" t="n">
        <f aca="false">P485+I485</f>
        <v>66</v>
      </c>
    </row>
    <row r="486" customFormat="false" ht="15" hidden="false" customHeight="false" outlineLevel="0" collapsed="false">
      <c r="A486" s="29" t="n">
        <v>485</v>
      </c>
      <c r="B486" s="29" t="n">
        <f aca="false">INDEX(Sprint_Metrics!$F$7:$F$16,RANDBETWEEN(1,ROWS(Sprint_Metrics!$F$7:$F$16)))</f>
        <v>11</v>
      </c>
      <c r="C486" s="29" t="n">
        <f aca="false">INDEX(Sprint_Metrics!$F$7:$F$16,RANDBETWEEN(1,ROWS(Sprint_Metrics!$F$7:$F$16)))</f>
        <v>9</v>
      </c>
      <c r="D486" s="29" t="n">
        <f aca="false">INDEX(Sprint_Metrics!$F$7:$F$16,RANDBETWEEN(1,ROWS(Sprint_Metrics!$F$7:$F$16)))</f>
        <v>8</v>
      </c>
      <c r="E486" s="29" t="n">
        <f aca="false">INDEX(Sprint_Metrics!$F$7:$F$16,RANDBETWEEN(1,ROWS(Sprint_Metrics!$F$7:$F$16)))</f>
        <v>9</v>
      </c>
      <c r="F486" s="29" t="n">
        <f aca="false">INDEX(Sprint_Metrics!$F$7:$F$16,RANDBETWEEN(1,ROWS(Sprint_Metrics!$F$7:$F$16)))</f>
        <v>11</v>
      </c>
      <c r="G486" s="29" t="n">
        <f aca="false">INDEX(Sprint_Metrics!$F$7:$F$16,RANDBETWEEN(1,ROWS(Sprint_Metrics!$F$7:$F$16)))</f>
        <v>7</v>
      </c>
      <c r="H486" s="29" t="n">
        <f aca="false">INDEX(Sprint_Metrics!$F$7:$F$16,RANDBETWEEN(1,ROWS(Sprint_Metrics!$F$7:$F$16)))</f>
        <v>9</v>
      </c>
      <c r="I486" s="29" t="n">
        <f aca="false">INDEX(Sprint_Metrics!$F$7:$F$16,RANDBETWEEN(1,ROWS(Sprint_Metrics!$F$7:$F$16)))</f>
        <v>8</v>
      </c>
      <c r="J486" s="29" t="n">
        <f aca="false">B486</f>
        <v>11</v>
      </c>
      <c r="K486" s="29" t="n">
        <f aca="false">J486+C486</f>
        <v>20</v>
      </c>
      <c r="L486" s="29" t="n">
        <f aca="false">K486+D486</f>
        <v>28</v>
      </c>
      <c r="M486" s="29" t="n">
        <f aca="false">L486+E486</f>
        <v>37</v>
      </c>
      <c r="N486" s="29" t="n">
        <f aca="false">M486+F486</f>
        <v>48</v>
      </c>
      <c r="O486" s="29" t="n">
        <f aca="false">N486+G486</f>
        <v>55</v>
      </c>
      <c r="P486" s="29" t="n">
        <f aca="false">O486+H486</f>
        <v>64</v>
      </c>
      <c r="Q486" s="29" t="n">
        <f aca="false">P486+I486</f>
        <v>72</v>
      </c>
    </row>
    <row r="487" customFormat="false" ht="15" hidden="false" customHeight="false" outlineLevel="0" collapsed="false">
      <c r="A487" s="29" t="n">
        <v>486</v>
      </c>
      <c r="B487" s="29" t="n">
        <f aca="false">INDEX(Sprint_Metrics!$F$7:$F$16,RANDBETWEEN(1,ROWS(Sprint_Metrics!$F$7:$F$16)))</f>
        <v>9</v>
      </c>
      <c r="C487" s="29" t="n">
        <f aca="false">INDEX(Sprint_Metrics!$F$7:$F$16,RANDBETWEEN(1,ROWS(Sprint_Metrics!$F$7:$F$16)))</f>
        <v>11</v>
      </c>
      <c r="D487" s="29" t="n">
        <f aca="false">INDEX(Sprint_Metrics!$F$7:$F$16,RANDBETWEEN(1,ROWS(Sprint_Metrics!$F$7:$F$16)))</f>
        <v>7</v>
      </c>
      <c r="E487" s="29" t="n">
        <f aca="false">INDEX(Sprint_Metrics!$F$7:$F$16,RANDBETWEEN(1,ROWS(Sprint_Metrics!$F$7:$F$16)))</f>
        <v>11</v>
      </c>
      <c r="F487" s="29" t="n">
        <f aca="false">INDEX(Sprint_Metrics!$F$7:$F$16,RANDBETWEEN(1,ROWS(Sprint_Metrics!$F$7:$F$16)))</f>
        <v>11</v>
      </c>
      <c r="G487" s="29" t="n">
        <f aca="false">INDEX(Sprint_Metrics!$F$7:$F$16,RANDBETWEEN(1,ROWS(Sprint_Metrics!$F$7:$F$16)))</f>
        <v>8</v>
      </c>
      <c r="H487" s="29" t="n">
        <f aca="false">INDEX(Sprint_Metrics!$F$7:$F$16,RANDBETWEEN(1,ROWS(Sprint_Metrics!$F$7:$F$16)))</f>
        <v>11</v>
      </c>
      <c r="I487" s="29" t="n">
        <f aca="false">INDEX(Sprint_Metrics!$F$7:$F$16,RANDBETWEEN(1,ROWS(Sprint_Metrics!$F$7:$F$16)))</f>
        <v>9</v>
      </c>
      <c r="J487" s="29" t="n">
        <f aca="false">B487</f>
        <v>9</v>
      </c>
      <c r="K487" s="29" t="n">
        <f aca="false">J487+C487</f>
        <v>20</v>
      </c>
      <c r="L487" s="29" t="n">
        <f aca="false">K487+D487</f>
        <v>27</v>
      </c>
      <c r="M487" s="29" t="n">
        <f aca="false">L487+E487</f>
        <v>38</v>
      </c>
      <c r="N487" s="29" t="n">
        <f aca="false">M487+F487</f>
        <v>49</v>
      </c>
      <c r="O487" s="29" t="n">
        <f aca="false">N487+G487</f>
        <v>57</v>
      </c>
      <c r="P487" s="29" t="n">
        <f aca="false">O487+H487</f>
        <v>68</v>
      </c>
      <c r="Q487" s="29" t="n">
        <f aca="false">P487+I487</f>
        <v>77</v>
      </c>
    </row>
    <row r="488" customFormat="false" ht="15" hidden="false" customHeight="false" outlineLevel="0" collapsed="false">
      <c r="A488" s="29" t="n">
        <v>487</v>
      </c>
      <c r="B488" s="29" t="n">
        <f aca="false">INDEX(Sprint_Metrics!$F$7:$F$16,RANDBETWEEN(1,ROWS(Sprint_Metrics!$F$7:$F$16)))</f>
        <v>8</v>
      </c>
      <c r="C488" s="29" t="n">
        <f aca="false">INDEX(Sprint_Metrics!$F$7:$F$16,RANDBETWEEN(1,ROWS(Sprint_Metrics!$F$7:$F$16)))</f>
        <v>8</v>
      </c>
      <c r="D488" s="29" t="n">
        <f aca="false">INDEX(Sprint_Metrics!$F$7:$F$16,RANDBETWEEN(1,ROWS(Sprint_Metrics!$F$7:$F$16)))</f>
        <v>8</v>
      </c>
      <c r="E488" s="29" t="n">
        <f aca="false">INDEX(Sprint_Metrics!$F$7:$F$16,RANDBETWEEN(1,ROWS(Sprint_Metrics!$F$7:$F$16)))</f>
        <v>8</v>
      </c>
      <c r="F488" s="29" t="n">
        <f aca="false">INDEX(Sprint_Metrics!$F$7:$F$16,RANDBETWEEN(1,ROWS(Sprint_Metrics!$F$7:$F$16)))</f>
        <v>8</v>
      </c>
      <c r="G488" s="29" t="n">
        <f aca="false">INDEX(Sprint_Metrics!$F$7:$F$16,RANDBETWEEN(1,ROWS(Sprint_Metrics!$F$7:$F$16)))</f>
        <v>9</v>
      </c>
      <c r="H488" s="29" t="n">
        <f aca="false">INDEX(Sprint_Metrics!$F$7:$F$16,RANDBETWEEN(1,ROWS(Sprint_Metrics!$F$7:$F$16)))</f>
        <v>8</v>
      </c>
      <c r="I488" s="29" t="n">
        <f aca="false">INDEX(Sprint_Metrics!$F$7:$F$16,RANDBETWEEN(1,ROWS(Sprint_Metrics!$F$7:$F$16)))</f>
        <v>11</v>
      </c>
      <c r="J488" s="29" t="n">
        <f aca="false">B488</f>
        <v>8</v>
      </c>
      <c r="K488" s="29" t="n">
        <f aca="false">J488+C488</f>
        <v>16</v>
      </c>
      <c r="L488" s="29" t="n">
        <f aca="false">K488+D488</f>
        <v>24</v>
      </c>
      <c r="M488" s="29" t="n">
        <f aca="false">L488+E488</f>
        <v>32</v>
      </c>
      <c r="N488" s="29" t="n">
        <f aca="false">M488+F488</f>
        <v>40</v>
      </c>
      <c r="O488" s="29" t="n">
        <f aca="false">N488+G488</f>
        <v>49</v>
      </c>
      <c r="P488" s="29" t="n">
        <f aca="false">O488+H488</f>
        <v>57</v>
      </c>
      <c r="Q488" s="29" t="n">
        <f aca="false">P488+I488</f>
        <v>68</v>
      </c>
    </row>
    <row r="489" customFormat="false" ht="15" hidden="false" customHeight="false" outlineLevel="0" collapsed="false">
      <c r="A489" s="29" t="n">
        <v>488</v>
      </c>
      <c r="B489" s="29" t="n">
        <f aca="false">INDEX(Sprint_Metrics!$F$7:$F$16,RANDBETWEEN(1,ROWS(Sprint_Metrics!$F$7:$F$16)))</f>
        <v>11</v>
      </c>
      <c r="C489" s="29" t="n">
        <f aca="false">INDEX(Sprint_Metrics!$F$7:$F$16,RANDBETWEEN(1,ROWS(Sprint_Metrics!$F$7:$F$16)))</f>
        <v>8</v>
      </c>
      <c r="D489" s="29" t="n">
        <f aca="false">INDEX(Sprint_Metrics!$F$7:$F$16,RANDBETWEEN(1,ROWS(Sprint_Metrics!$F$7:$F$16)))</f>
        <v>9</v>
      </c>
      <c r="E489" s="29" t="n">
        <f aca="false">INDEX(Sprint_Metrics!$F$7:$F$16,RANDBETWEEN(1,ROWS(Sprint_Metrics!$F$7:$F$16)))</f>
        <v>8</v>
      </c>
      <c r="F489" s="29" t="n">
        <f aca="false">INDEX(Sprint_Metrics!$F$7:$F$16,RANDBETWEEN(1,ROWS(Sprint_Metrics!$F$7:$F$16)))</f>
        <v>8</v>
      </c>
      <c r="G489" s="29" t="n">
        <f aca="false">INDEX(Sprint_Metrics!$F$7:$F$16,RANDBETWEEN(1,ROWS(Sprint_Metrics!$F$7:$F$16)))</f>
        <v>8</v>
      </c>
      <c r="H489" s="29" t="n">
        <f aca="false">INDEX(Sprint_Metrics!$F$7:$F$16,RANDBETWEEN(1,ROWS(Sprint_Metrics!$F$7:$F$16)))</f>
        <v>7</v>
      </c>
      <c r="I489" s="29" t="n">
        <f aca="false">INDEX(Sprint_Metrics!$F$7:$F$16,RANDBETWEEN(1,ROWS(Sprint_Metrics!$F$7:$F$16)))</f>
        <v>9</v>
      </c>
      <c r="J489" s="29" t="n">
        <f aca="false">B489</f>
        <v>11</v>
      </c>
      <c r="K489" s="29" t="n">
        <f aca="false">J489+C489</f>
        <v>19</v>
      </c>
      <c r="L489" s="29" t="n">
        <f aca="false">K489+D489</f>
        <v>28</v>
      </c>
      <c r="M489" s="29" t="n">
        <f aca="false">L489+E489</f>
        <v>36</v>
      </c>
      <c r="N489" s="29" t="n">
        <f aca="false">M489+F489</f>
        <v>44</v>
      </c>
      <c r="O489" s="29" t="n">
        <f aca="false">N489+G489</f>
        <v>52</v>
      </c>
      <c r="P489" s="29" t="n">
        <f aca="false">O489+H489</f>
        <v>59</v>
      </c>
      <c r="Q489" s="29" t="n">
        <f aca="false">P489+I489</f>
        <v>68</v>
      </c>
    </row>
    <row r="490" customFormat="false" ht="15" hidden="false" customHeight="false" outlineLevel="0" collapsed="false">
      <c r="A490" s="29" t="n">
        <v>489</v>
      </c>
      <c r="B490" s="29" t="n">
        <f aca="false">INDEX(Sprint_Metrics!$F$7:$F$16,RANDBETWEEN(1,ROWS(Sprint_Metrics!$F$7:$F$16)))</f>
        <v>11</v>
      </c>
      <c r="C490" s="29" t="n">
        <f aca="false">INDEX(Sprint_Metrics!$F$7:$F$16,RANDBETWEEN(1,ROWS(Sprint_Metrics!$F$7:$F$16)))</f>
        <v>9</v>
      </c>
      <c r="D490" s="29" t="n">
        <f aca="false">INDEX(Sprint_Metrics!$F$7:$F$16,RANDBETWEEN(1,ROWS(Sprint_Metrics!$F$7:$F$16)))</f>
        <v>9</v>
      </c>
      <c r="E490" s="29" t="n">
        <f aca="false">INDEX(Sprint_Metrics!$F$7:$F$16,RANDBETWEEN(1,ROWS(Sprint_Metrics!$F$7:$F$16)))</f>
        <v>11</v>
      </c>
      <c r="F490" s="29" t="n">
        <f aca="false">INDEX(Sprint_Metrics!$F$7:$F$16,RANDBETWEEN(1,ROWS(Sprint_Metrics!$F$7:$F$16)))</f>
        <v>8</v>
      </c>
      <c r="G490" s="29" t="n">
        <f aca="false">INDEX(Sprint_Metrics!$F$7:$F$16,RANDBETWEEN(1,ROWS(Sprint_Metrics!$F$7:$F$16)))</f>
        <v>9</v>
      </c>
      <c r="H490" s="29" t="n">
        <f aca="false">INDEX(Sprint_Metrics!$F$7:$F$16,RANDBETWEEN(1,ROWS(Sprint_Metrics!$F$7:$F$16)))</f>
        <v>12</v>
      </c>
      <c r="I490" s="29" t="n">
        <f aca="false">INDEX(Sprint_Metrics!$F$7:$F$16,RANDBETWEEN(1,ROWS(Sprint_Metrics!$F$7:$F$16)))</f>
        <v>7</v>
      </c>
      <c r="J490" s="29" t="n">
        <f aca="false">B490</f>
        <v>11</v>
      </c>
      <c r="K490" s="29" t="n">
        <f aca="false">J490+C490</f>
        <v>20</v>
      </c>
      <c r="L490" s="29" t="n">
        <f aca="false">K490+D490</f>
        <v>29</v>
      </c>
      <c r="M490" s="29" t="n">
        <f aca="false">L490+E490</f>
        <v>40</v>
      </c>
      <c r="N490" s="29" t="n">
        <f aca="false">M490+F490</f>
        <v>48</v>
      </c>
      <c r="O490" s="29" t="n">
        <f aca="false">N490+G490</f>
        <v>57</v>
      </c>
      <c r="P490" s="29" t="n">
        <f aca="false">O490+H490</f>
        <v>69</v>
      </c>
      <c r="Q490" s="29" t="n">
        <f aca="false">P490+I490</f>
        <v>76</v>
      </c>
    </row>
    <row r="491" customFormat="false" ht="15" hidden="false" customHeight="false" outlineLevel="0" collapsed="false">
      <c r="A491" s="29" t="n">
        <v>490</v>
      </c>
      <c r="B491" s="29" t="n">
        <f aca="false">INDEX(Sprint_Metrics!$F$7:$F$16,RANDBETWEEN(1,ROWS(Sprint_Metrics!$F$7:$F$16)))</f>
        <v>9</v>
      </c>
      <c r="C491" s="29" t="n">
        <f aca="false">INDEX(Sprint_Metrics!$F$7:$F$16,RANDBETWEEN(1,ROWS(Sprint_Metrics!$F$7:$F$16)))</f>
        <v>8</v>
      </c>
      <c r="D491" s="29" t="n">
        <f aca="false">INDEX(Sprint_Metrics!$F$7:$F$16,RANDBETWEEN(1,ROWS(Sprint_Metrics!$F$7:$F$16)))</f>
        <v>7</v>
      </c>
      <c r="E491" s="29" t="n">
        <f aca="false">INDEX(Sprint_Metrics!$F$7:$F$16,RANDBETWEEN(1,ROWS(Sprint_Metrics!$F$7:$F$16)))</f>
        <v>11</v>
      </c>
      <c r="F491" s="29" t="n">
        <f aca="false">INDEX(Sprint_Metrics!$F$7:$F$16,RANDBETWEEN(1,ROWS(Sprint_Metrics!$F$7:$F$16)))</f>
        <v>12</v>
      </c>
      <c r="G491" s="29" t="n">
        <f aca="false">INDEX(Sprint_Metrics!$F$7:$F$16,RANDBETWEEN(1,ROWS(Sprint_Metrics!$F$7:$F$16)))</f>
        <v>8</v>
      </c>
      <c r="H491" s="29" t="n">
        <f aca="false">INDEX(Sprint_Metrics!$F$7:$F$16,RANDBETWEEN(1,ROWS(Sprint_Metrics!$F$7:$F$16)))</f>
        <v>11</v>
      </c>
      <c r="I491" s="29" t="n">
        <f aca="false">INDEX(Sprint_Metrics!$F$7:$F$16,RANDBETWEEN(1,ROWS(Sprint_Metrics!$F$7:$F$16)))</f>
        <v>11</v>
      </c>
      <c r="J491" s="29" t="n">
        <f aca="false">B491</f>
        <v>9</v>
      </c>
      <c r="K491" s="29" t="n">
        <f aca="false">J491+C491</f>
        <v>17</v>
      </c>
      <c r="L491" s="29" t="n">
        <f aca="false">K491+D491</f>
        <v>24</v>
      </c>
      <c r="M491" s="29" t="n">
        <f aca="false">L491+E491</f>
        <v>35</v>
      </c>
      <c r="N491" s="29" t="n">
        <f aca="false">M491+F491</f>
        <v>47</v>
      </c>
      <c r="O491" s="29" t="n">
        <f aca="false">N491+G491</f>
        <v>55</v>
      </c>
      <c r="P491" s="29" t="n">
        <f aca="false">O491+H491</f>
        <v>66</v>
      </c>
      <c r="Q491" s="29" t="n">
        <f aca="false">P491+I491</f>
        <v>77</v>
      </c>
    </row>
    <row r="492" customFormat="false" ht="15" hidden="false" customHeight="false" outlineLevel="0" collapsed="false">
      <c r="A492" s="29" t="n">
        <v>491</v>
      </c>
      <c r="B492" s="29" t="n">
        <f aca="false">INDEX(Sprint_Metrics!$F$7:$F$16,RANDBETWEEN(1,ROWS(Sprint_Metrics!$F$7:$F$16)))</f>
        <v>8</v>
      </c>
      <c r="C492" s="29" t="n">
        <f aca="false">INDEX(Sprint_Metrics!$F$7:$F$16,RANDBETWEEN(1,ROWS(Sprint_Metrics!$F$7:$F$16)))</f>
        <v>7</v>
      </c>
      <c r="D492" s="29" t="n">
        <f aca="false">INDEX(Sprint_Metrics!$F$7:$F$16,RANDBETWEEN(1,ROWS(Sprint_Metrics!$F$7:$F$16)))</f>
        <v>8</v>
      </c>
      <c r="E492" s="29" t="n">
        <f aca="false">INDEX(Sprint_Metrics!$F$7:$F$16,RANDBETWEEN(1,ROWS(Sprint_Metrics!$F$7:$F$16)))</f>
        <v>7</v>
      </c>
      <c r="F492" s="29" t="n">
        <f aca="false">INDEX(Sprint_Metrics!$F$7:$F$16,RANDBETWEEN(1,ROWS(Sprint_Metrics!$F$7:$F$16)))</f>
        <v>11</v>
      </c>
      <c r="G492" s="29" t="n">
        <f aca="false">INDEX(Sprint_Metrics!$F$7:$F$16,RANDBETWEEN(1,ROWS(Sprint_Metrics!$F$7:$F$16)))</f>
        <v>8</v>
      </c>
      <c r="H492" s="29" t="n">
        <f aca="false">INDEX(Sprint_Metrics!$F$7:$F$16,RANDBETWEEN(1,ROWS(Sprint_Metrics!$F$7:$F$16)))</f>
        <v>8</v>
      </c>
      <c r="I492" s="29" t="n">
        <f aca="false">INDEX(Sprint_Metrics!$F$7:$F$16,RANDBETWEEN(1,ROWS(Sprint_Metrics!$F$7:$F$16)))</f>
        <v>8</v>
      </c>
      <c r="J492" s="29" t="n">
        <f aca="false">B492</f>
        <v>8</v>
      </c>
      <c r="K492" s="29" t="n">
        <f aca="false">J492+C492</f>
        <v>15</v>
      </c>
      <c r="L492" s="29" t="n">
        <f aca="false">K492+D492</f>
        <v>23</v>
      </c>
      <c r="M492" s="29" t="n">
        <f aca="false">L492+E492</f>
        <v>30</v>
      </c>
      <c r="N492" s="29" t="n">
        <f aca="false">M492+F492</f>
        <v>41</v>
      </c>
      <c r="O492" s="29" t="n">
        <f aca="false">N492+G492</f>
        <v>49</v>
      </c>
      <c r="P492" s="29" t="n">
        <f aca="false">O492+H492</f>
        <v>57</v>
      </c>
      <c r="Q492" s="29" t="n">
        <f aca="false">P492+I492</f>
        <v>65</v>
      </c>
    </row>
    <row r="493" customFormat="false" ht="15" hidden="false" customHeight="false" outlineLevel="0" collapsed="false">
      <c r="A493" s="29" t="n">
        <v>492</v>
      </c>
      <c r="B493" s="29" t="n">
        <f aca="false">INDEX(Sprint_Metrics!$F$7:$F$16,RANDBETWEEN(1,ROWS(Sprint_Metrics!$F$7:$F$16)))</f>
        <v>7</v>
      </c>
      <c r="C493" s="29" t="n">
        <f aca="false">INDEX(Sprint_Metrics!$F$7:$F$16,RANDBETWEEN(1,ROWS(Sprint_Metrics!$F$7:$F$16)))</f>
        <v>9</v>
      </c>
      <c r="D493" s="29" t="n">
        <f aca="false">INDEX(Sprint_Metrics!$F$7:$F$16,RANDBETWEEN(1,ROWS(Sprint_Metrics!$F$7:$F$16)))</f>
        <v>7</v>
      </c>
      <c r="E493" s="29" t="n">
        <f aca="false">INDEX(Sprint_Metrics!$F$7:$F$16,RANDBETWEEN(1,ROWS(Sprint_Metrics!$F$7:$F$16)))</f>
        <v>7</v>
      </c>
      <c r="F493" s="29" t="n">
        <f aca="false">INDEX(Sprint_Metrics!$F$7:$F$16,RANDBETWEEN(1,ROWS(Sprint_Metrics!$F$7:$F$16)))</f>
        <v>9</v>
      </c>
      <c r="G493" s="29" t="n">
        <f aca="false">INDEX(Sprint_Metrics!$F$7:$F$16,RANDBETWEEN(1,ROWS(Sprint_Metrics!$F$7:$F$16)))</f>
        <v>8</v>
      </c>
      <c r="H493" s="29" t="n">
        <f aca="false">INDEX(Sprint_Metrics!$F$7:$F$16,RANDBETWEEN(1,ROWS(Sprint_Metrics!$F$7:$F$16)))</f>
        <v>7</v>
      </c>
      <c r="I493" s="29" t="n">
        <f aca="false">INDEX(Sprint_Metrics!$F$7:$F$16,RANDBETWEEN(1,ROWS(Sprint_Metrics!$F$7:$F$16)))</f>
        <v>8</v>
      </c>
      <c r="J493" s="29" t="n">
        <f aca="false">B493</f>
        <v>7</v>
      </c>
      <c r="K493" s="29" t="n">
        <f aca="false">J493+C493</f>
        <v>16</v>
      </c>
      <c r="L493" s="29" t="n">
        <f aca="false">K493+D493</f>
        <v>23</v>
      </c>
      <c r="M493" s="29" t="n">
        <f aca="false">L493+E493</f>
        <v>30</v>
      </c>
      <c r="N493" s="29" t="n">
        <f aca="false">M493+F493</f>
        <v>39</v>
      </c>
      <c r="O493" s="29" t="n">
        <f aca="false">N493+G493</f>
        <v>47</v>
      </c>
      <c r="P493" s="29" t="n">
        <f aca="false">O493+H493</f>
        <v>54</v>
      </c>
      <c r="Q493" s="29" t="n">
        <f aca="false">P493+I493</f>
        <v>62</v>
      </c>
    </row>
    <row r="494" customFormat="false" ht="15" hidden="false" customHeight="false" outlineLevel="0" collapsed="false">
      <c r="A494" s="29" t="n">
        <v>493</v>
      </c>
      <c r="B494" s="29" t="n">
        <f aca="false">INDEX(Sprint_Metrics!$F$7:$F$16,RANDBETWEEN(1,ROWS(Sprint_Metrics!$F$7:$F$16)))</f>
        <v>8</v>
      </c>
      <c r="C494" s="29" t="n">
        <f aca="false">INDEX(Sprint_Metrics!$F$7:$F$16,RANDBETWEEN(1,ROWS(Sprint_Metrics!$F$7:$F$16)))</f>
        <v>12</v>
      </c>
      <c r="D494" s="29" t="n">
        <f aca="false">INDEX(Sprint_Metrics!$F$7:$F$16,RANDBETWEEN(1,ROWS(Sprint_Metrics!$F$7:$F$16)))</f>
        <v>7</v>
      </c>
      <c r="E494" s="29" t="n">
        <f aca="false">INDEX(Sprint_Metrics!$F$7:$F$16,RANDBETWEEN(1,ROWS(Sprint_Metrics!$F$7:$F$16)))</f>
        <v>7</v>
      </c>
      <c r="F494" s="29" t="n">
        <f aca="false">INDEX(Sprint_Metrics!$F$7:$F$16,RANDBETWEEN(1,ROWS(Sprint_Metrics!$F$7:$F$16)))</f>
        <v>9</v>
      </c>
      <c r="G494" s="29" t="n">
        <f aca="false">INDEX(Sprint_Metrics!$F$7:$F$16,RANDBETWEEN(1,ROWS(Sprint_Metrics!$F$7:$F$16)))</f>
        <v>11</v>
      </c>
      <c r="H494" s="29" t="n">
        <f aca="false">INDEX(Sprint_Metrics!$F$7:$F$16,RANDBETWEEN(1,ROWS(Sprint_Metrics!$F$7:$F$16)))</f>
        <v>7</v>
      </c>
      <c r="I494" s="29" t="n">
        <f aca="false">INDEX(Sprint_Metrics!$F$7:$F$16,RANDBETWEEN(1,ROWS(Sprint_Metrics!$F$7:$F$16)))</f>
        <v>8</v>
      </c>
      <c r="J494" s="29" t="n">
        <f aca="false">B494</f>
        <v>8</v>
      </c>
      <c r="K494" s="29" t="n">
        <f aca="false">J494+C494</f>
        <v>20</v>
      </c>
      <c r="L494" s="29" t="n">
        <f aca="false">K494+D494</f>
        <v>27</v>
      </c>
      <c r="M494" s="29" t="n">
        <f aca="false">L494+E494</f>
        <v>34</v>
      </c>
      <c r="N494" s="29" t="n">
        <f aca="false">M494+F494</f>
        <v>43</v>
      </c>
      <c r="O494" s="29" t="n">
        <f aca="false">N494+G494</f>
        <v>54</v>
      </c>
      <c r="P494" s="29" t="n">
        <f aca="false">O494+H494</f>
        <v>61</v>
      </c>
      <c r="Q494" s="29" t="n">
        <f aca="false">P494+I494</f>
        <v>69</v>
      </c>
    </row>
    <row r="495" customFormat="false" ht="15" hidden="false" customHeight="false" outlineLevel="0" collapsed="false">
      <c r="A495" s="29" t="n">
        <v>494</v>
      </c>
      <c r="B495" s="29" t="n">
        <f aca="false">INDEX(Sprint_Metrics!$F$7:$F$16,RANDBETWEEN(1,ROWS(Sprint_Metrics!$F$7:$F$16)))</f>
        <v>8</v>
      </c>
      <c r="C495" s="29" t="n">
        <f aca="false">INDEX(Sprint_Metrics!$F$7:$F$16,RANDBETWEEN(1,ROWS(Sprint_Metrics!$F$7:$F$16)))</f>
        <v>11</v>
      </c>
      <c r="D495" s="29" t="n">
        <f aca="false">INDEX(Sprint_Metrics!$F$7:$F$16,RANDBETWEEN(1,ROWS(Sprint_Metrics!$F$7:$F$16)))</f>
        <v>11</v>
      </c>
      <c r="E495" s="29" t="n">
        <f aca="false">INDEX(Sprint_Metrics!$F$7:$F$16,RANDBETWEEN(1,ROWS(Sprint_Metrics!$F$7:$F$16)))</f>
        <v>11</v>
      </c>
      <c r="F495" s="29" t="n">
        <f aca="false">INDEX(Sprint_Metrics!$F$7:$F$16,RANDBETWEEN(1,ROWS(Sprint_Metrics!$F$7:$F$16)))</f>
        <v>11</v>
      </c>
      <c r="G495" s="29" t="n">
        <f aca="false">INDEX(Sprint_Metrics!$F$7:$F$16,RANDBETWEEN(1,ROWS(Sprint_Metrics!$F$7:$F$16)))</f>
        <v>8</v>
      </c>
      <c r="H495" s="29" t="n">
        <f aca="false">INDEX(Sprint_Metrics!$F$7:$F$16,RANDBETWEEN(1,ROWS(Sprint_Metrics!$F$7:$F$16)))</f>
        <v>9</v>
      </c>
      <c r="I495" s="29" t="n">
        <f aca="false">INDEX(Sprint_Metrics!$F$7:$F$16,RANDBETWEEN(1,ROWS(Sprint_Metrics!$F$7:$F$16)))</f>
        <v>8</v>
      </c>
      <c r="J495" s="29" t="n">
        <f aca="false">B495</f>
        <v>8</v>
      </c>
      <c r="K495" s="29" t="n">
        <f aca="false">J495+C495</f>
        <v>19</v>
      </c>
      <c r="L495" s="29" t="n">
        <f aca="false">K495+D495</f>
        <v>30</v>
      </c>
      <c r="M495" s="29" t="n">
        <f aca="false">L495+E495</f>
        <v>41</v>
      </c>
      <c r="N495" s="29" t="n">
        <f aca="false">M495+F495</f>
        <v>52</v>
      </c>
      <c r="O495" s="29" t="n">
        <f aca="false">N495+G495</f>
        <v>60</v>
      </c>
      <c r="P495" s="29" t="n">
        <f aca="false">O495+H495</f>
        <v>69</v>
      </c>
      <c r="Q495" s="29" t="n">
        <f aca="false">P495+I495</f>
        <v>77</v>
      </c>
    </row>
    <row r="496" customFormat="false" ht="15" hidden="false" customHeight="false" outlineLevel="0" collapsed="false">
      <c r="A496" s="29" t="n">
        <v>495</v>
      </c>
      <c r="B496" s="29" t="n">
        <f aca="false">INDEX(Sprint_Metrics!$F$7:$F$16,RANDBETWEEN(1,ROWS(Sprint_Metrics!$F$7:$F$16)))</f>
        <v>12</v>
      </c>
      <c r="C496" s="29" t="n">
        <f aca="false">INDEX(Sprint_Metrics!$F$7:$F$16,RANDBETWEEN(1,ROWS(Sprint_Metrics!$F$7:$F$16)))</f>
        <v>8</v>
      </c>
      <c r="D496" s="29" t="n">
        <f aca="false">INDEX(Sprint_Metrics!$F$7:$F$16,RANDBETWEEN(1,ROWS(Sprint_Metrics!$F$7:$F$16)))</f>
        <v>9</v>
      </c>
      <c r="E496" s="29" t="n">
        <f aca="false">INDEX(Sprint_Metrics!$F$7:$F$16,RANDBETWEEN(1,ROWS(Sprint_Metrics!$F$7:$F$16)))</f>
        <v>8</v>
      </c>
      <c r="F496" s="29" t="n">
        <f aca="false">INDEX(Sprint_Metrics!$F$7:$F$16,RANDBETWEEN(1,ROWS(Sprint_Metrics!$F$7:$F$16)))</f>
        <v>9</v>
      </c>
      <c r="G496" s="29" t="n">
        <f aca="false">INDEX(Sprint_Metrics!$F$7:$F$16,RANDBETWEEN(1,ROWS(Sprint_Metrics!$F$7:$F$16)))</f>
        <v>8</v>
      </c>
      <c r="H496" s="29" t="n">
        <f aca="false">INDEX(Sprint_Metrics!$F$7:$F$16,RANDBETWEEN(1,ROWS(Sprint_Metrics!$F$7:$F$16)))</f>
        <v>9</v>
      </c>
      <c r="I496" s="29" t="n">
        <f aca="false">INDEX(Sprint_Metrics!$F$7:$F$16,RANDBETWEEN(1,ROWS(Sprint_Metrics!$F$7:$F$16)))</f>
        <v>8</v>
      </c>
      <c r="J496" s="29" t="n">
        <f aca="false">B496</f>
        <v>12</v>
      </c>
      <c r="K496" s="29" t="n">
        <f aca="false">J496+C496</f>
        <v>20</v>
      </c>
      <c r="L496" s="29" t="n">
        <f aca="false">K496+D496</f>
        <v>29</v>
      </c>
      <c r="M496" s="29" t="n">
        <f aca="false">L496+E496</f>
        <v>37</v>
      </c>
      <c r="N496" s="29" t="n">
        <f aca="false">M496+F496</f>
        <v>46</v>
      </c>
      <c r="O496" s="29" t="n">
        <f aca="false">N496+G496</f>
        <v>54</v>
      </c>
      <c r="P496" s="29" t="n">
        <f aca="false">O496+H496</f>
        <v>63</v>
      </c>
      <c r="Q496" s="29" t="n">
        <f aca="false">P496+I496</f>
        <v>71</v>
      </c>
    </row>
    <row r="497" customFormat="false" ht="15" hidden="false" customHeight="false" outlineLevel="0" collapsed="false">
      <c r="A497" s="29" t="n">
        <v>496</v>
      </c>
      <c r="B497" s="29" t="n">
        <f aca="false">INDEX(Sprint_Metrics!$F$7:$F$16,RANDBETWEEN(1,ROWS(Sprint_Metrics!$F$7:$F$16)))</f>
        <v>7</v>
      </c>
      <c r="C497" s="29" t="n">
        <f aca="false">INDEX(Sprint_Metrics!$F$7:$F$16,RANDBETWEEN(1,ROWS(Sprint_Metrics!$F$7:$F$16)))</f>
        <v>8</v>
      </c>
      <c r="D497" s="29" t="n">
        <f aca="false">INDEX(Sprint_Metrics!$F$7:$F$16,RANDBETWEEN(1,ROWS(Sprint_Metrics!$F$7:$F$16)))</f>
        <v>12</v>
      </c>
      <c r="E497" s="29" t="n">
        <f aca="false">INDEX(Sprint_Metrics!$F$7:$F$16,RANDBETWEEN(1,ROWS(Sprint_Metrics!$F$7:$F$16)))</f>
        <v>8</v>
      </c>
      <c r="F497" s="29" t="n">
        <f aca="false">INDEX(Sprint_Metrics!$F$7:$F$16,RANDBETWEEN(1,ROWS(Sprint_Metrics!$F$7:$F$16)))</f>
        <v>8</v>
      </c>
      <c r="G497" s="29" t="n">
        <f aca="false">INDEX(Sprint_Metrics!$F$7:$F$16,RANDBETWEEN(1,ROWS(Sprint_Metrics!$F$7:$F$16)))</f>
        <v>9</v>
      </c>
      <c r="H497" s="29" t="n">
        <f aca="false">INDEX(Sprint_Metrics!$F$7:$F$16,RANDBETWEEN(1,ROWS(Sprint_Metrics!$F$7:$F$16)))</f>
        <v>7</v>
      </c>
      <c r="I497" s="29" t="n">
        <f aca="false">INDEX(Sprint_Metrics!$F$7:$F$16,RANDBETWEEN(1,ROWS(Sprint_Metrics!$F$7:$F$16)))</f>
        <v>11</v>
      </c>
      <c r="J497" s="29" t="n">
        <f aca="false">B497</f>
        <v>7</v>
      </c>
      <c r="K497" s="29" t="n">
        <f aca="false">J497+C497</f>
        <v>15</v>
      </c>
      <c r="L497" s="29" t="n">
        <f aca="false">K497+D497</f>
        <v>27</v>
      </c>
      <c r="M497" s="29" t="n">
        <f aca="false">L497+E497</f>
        <v>35</v>
      </c>
      <c r="N497" s="29" t="n">
        <f aca="false">M497+F497</f>
        <v>43</v>
      </c>
      <c r="O497" s="29" t="n">
        <f aca="false">N497+G497</f>
        <v>52</v>
      </c>
      <c r="P497" s="29" t="n">
        <f aca="false">O497+H497</f>
        <v>59</v>
      </c>
      <c r="Q497" s="29" t="n">
        <f aca="false">P497+I497</f>
        <v>70</v>
      </c>
    </row>
    <row r="498" customFormat="false" ht="15" hidden="false" customHeight="false" outlineLevel="0" collapsed="false">
      <c r="A498" s="29" t="n">
        <v>497</v>
      </c>
      <c r="B498" s="29" t="n">
        <f aca="false">INDEX(Sprint_Metrics!$F$7:$F$16,RANDBETWEEN(1,ROWS(Sprint_Metrics!$F$7:$F$16)))</f>
        <v>12</v>
      </c>
      <c r="C498" s="29" t="n">
        <f aca="false">INDEX(Sprint_Metrics!$F$7:$F$16,RANDBETWEEN(1,ROWS(Sprint_Metrics!$F$7:$F$16)))</f>
        <v>8</v>
      </c>
      <c r="D498" s="29" t="n">
        <f aca="false">INDEX(Sprint_Metrics!$F$7:$F$16,RANDBETWEEN(1,ROWS(Sprint_Metrics!$F$7:$F$16)))</f>
        <v>11</v>
      </c>
      <c r="E498" s="29" t="n">
        <f aca="false">INDEX(Sprint_Metrics!$F$7:$F$16,RANDBETWEEN(1,ROWS(Sprint_Metrics!$F$7:$F$16)))</f>
        <v>8</v>
      </c>
      <c r="F498" s="29" t="n">
        <f aca="false">INDEX(Sprint_Metrics!$F$7:$F$16,RANDBETWEEN(1,ROWS(Sprint_Metrics!$F$7:$F$16)))</f>
        <v>8</v>
      </c>
      <c r="G498" s="29" t="n">
        <f aca="false">INDEX(Sprint_Metrics!$F$7:$F$16,RANDBETWEEN(1,ROWS(Sprint_Metrics!$F$7:$F$16)))</f>
        <v>9</v>
      </c>
      <c r="H498" s="29" t="n">
        <f aca="false">INDEX(Sprint_Metrics!$F$7:$F$16,RANDBETWEEN(1,ROWS(Sprint_Metrics!$F$7:$F$16)))</f>
        <v>9</v>
      </c>
      <c r="I498" s="29" t="n">
        <f aca="false">INDEX(Sprint_Metrics!$F$7:$F$16,RANDBETWEEN(1,ROWS(Sprint_Metrics!$F$7:$F$16)))</f>
        <v>11</v>
      </c>
      <c r="J498" s="29" t="n">
        <f aca="false">B498</f>
        <v>12</v>
      </c>
      <c r="K498" s="29" t="n">
        <f aca="false">J498+C498</f>
        <v>20</v>
      </c>
      <c r="L498" s="29" t="n">
        <f aca="false">K498+D498</f>
        <v>31</v>
      </c>
      <c r="M498" s="29" t="n">
        <f aca="false">L498+E498</f>
        <v>39</v>
      </c>
      <c r="N498" s="29" t="n">
        <f aca="false">M498+F498</f>
        <v>47</v>
      </c>
      <c r="O498" s="29" t="n">
        <f aca="false">N498+G498</f>
        <v>56</v>
      </c>
      <c r="P498" s="29" t="n">
        <f aca="false">O498+H498</f>
        <v>65</v>
      </c>
      <c r="Q498" s="29" t="n">
        <f aca="false">P498+I498</f>
        <v>76</v>
      </c>
    </row>
    <row r="499" customFormat="false" ht="15" hidden="false" customHeight="false" outlineLevel="0" collapsed="false">
      <c r="A499" s="29" t="n">
        <v>498</v>
      </c>
      <c r="B499" s="29" t="n">
        <f aca="false">INDEX(Sprint_Metrics!$F$7:$F$16,RANDBETWEEN(1,ROWS(Sprint_Metrics!$F$7:$F$16)))</f>
        <v>8</v>
      </c>
      <c r="C499" s="29" t="n">
        <f aca="false">INDEX(Sprint_Metrics!$F$7:$F$16,RANDBETWEEN(1,ROWS(Sprint_Metrics!$F$7:$F$16)))</f>
        <v>7</v>
      </c>
      <c r="D499" s="29" t="n">
        <f aca="false">INDEX(Sprint_Metrics!$F$7:$F$16,RANDBETWEEN(1,ROWS(Sprint_Metrics!$F$7:$F$16)))</f>
        <v>9</v>
      </c>
      <c r="E499" s="29" t="n">
        <f aca="false">INDEX(Sprint_Metrics!$F$7:$F$16,RANDBETWEEN(1,ROWS(Sprint_Metrics!$F$7:$F$16)))</f>
        <v>8</v>
      </c>
      <c r="F499" s="29" t="n">
        <f aca="false">INDEX(Sprint_Metrics!$F$7:$F$16,RANDBETWEEN(1,ROWS(Sprint_Metrics!$F$7:$F$16)))</f>
        <v>8</v>
      </c>
      <c r="G499" s="29" t="n">
        <f aca="false">INDEX(Sprint_Metrics!$F$7:$F$16,RANDBETWEEN(1,ROWS(Sprint_Metrics!$F$7:$F$16)))</f>
        <v>7</v>
      </c>
      <c r="H499" s="29" t="n">
        <f aca="false">INDEX(Sprint_Metrics!$F$7:$F$16,RANDBETWEEN(1,ROWS(Sprint_Metrics!$F$7:$F$16)))</f>
        <v>8</v>
      </c>
      <c r="I499" s="29" t="n">
        <f aca="false">INDEX(Sprint_Metrics!$F$7:$F$16,RANDBETWEEN(1,ROWS(Sprint_Metrics!$F$7:$F$16)))</f>
        <v>7</v>
      </c>
      <c r="J499" s="29" t="n">
        <f aca="false">B499</f>
        <v>8</v>
      </c>
      <c r="K499" s="29" t="n">
        <f aca="false">J499+C499</f>
        <v>15</v>
      </c>
      <c r="L499" s="29" t="n">
        <f aca="false">K499+D499</f>
        <v>24</v>
      </c>
      <c r="M499" s="29" t="n">
        <f aca="false">L499+E499</f>
        <v>32</v>
      </c>
      <c r="N499" s="29" t="n">
        <f aca="false">M499+F499</f>
        <v>40</v>
      </c>
      <c r="O499" s="29" t="n">
        <f aca="false">N499+G499</f>
        <v>47</v>
      </c>
      <c r="P499" s="29" t="n">
        <f aca="false">O499+H499</f>
        <v>55</v>
      </c>
      <c r="Q499" s="29" t="n">
        <f aca="false">P499+I499</f>
        <v>62</v>
      </c>
    </row>
    <row r="500" customFormat="false" ht="15" hidden="false" customHeight="false" outlineLevel="0" collapsed="false">
      <c r="A500" s="29" t="n">
        <v>499</v>
      </c>
      <c r="B500" s="29" t="n">
        <f aca="false">INDEX(Sprint_Metrics!$F$7:$F$16,RANDBETWEEN(1,ROWS(Sprint_Metrics!$F$7:$F$16)))</f>
        <v>8</v>
      </c>
      <c r="C500" s="29" t="n">
        <f aca="false">INDEX(Sprint_Metrics!$F$7:$F$16,RANDBETWEEN(1,ROWS(Sprint_Metrics!$F$7:$F$16)))</f>
        <v>12</v>
      </c>
      <c r="D500" s="29" t="n">
        <f aca="false">INDEX(Sprint_Metrics!$F$7:$F$16,RANDBETWEEN(1,ROWS(Sprint_Metrics!$F$7:$F$16)))</f>
        <v>7</v>
      </c>
      <c r="E500" s="29" t="n">
        <f aca="false">INDEX(Sprint_Metrics!$F$7:$F$16,RANDBETWEEN(1,ROWS(Sprint_Metrics!$F$7:$F$16)))</f>
        <v>7</v>
      </c>
      <c r="F500" s="29" t="n">
        <f aca="false">INDEX(Sprint_Metrics!$F$7:$F$16,RANDBETWEEN(1,ROWS(Sprint_Metrics!$F$7:$F$16)))</f>
        <v>7</v>
      </c>
      <c r="G500" s="29" t="n">
        <f aca="false">INDEX(Sprint_Metrics!$F$7:$F$16,RANDBETWEEN(1,ROWS(Sprint_Metrics!$F$7:$F$16)))</f>
        <v>8</v>
      </c>
      <c r="H500" s="29" t="n">
        <f aca="false">INDEX(Sprint_Metrics!$F$7:$F$16,RANDBETWEEN(1,ROWS(Sprint_Metrics!$F$7:$F$16)))</f>
        <v>8</v>
      </c>
      <c r="I500" s="29" t="n">
        <f aca="false">INDEX(Sprint_Metrics!$F$7:$F$16,RANDBETWEEN(1,ROWS(Sprint_Metrics!$F$7:$F$16)))</f>
        <v>9</v>
      </c>
      <c r="J500" s="29" t="n">
        <f aca="false">B500</f>
        <v>8</v>
      </c>
      <c r="K500" s="29" t="n">
        <f aca="false">J500+C500</f>
        <v>20</v>
      </c>
      <c r="L500" s="29" t="n">
        <f aca="false">K500+D500</f>
        <v>27</v>
      </c>
      <c r="M500" s="29" t="n">
        <f aca="false">L500+E500</f>
        <v>34</v>
      </c>
      <c r="N500" s="29" t="n">
        <f aca="false">M500+F500</f>
        <v>41</v>
      </c>
      <c r="O500" s="29" t="n">
        <f aca="false">N500+G500</f>
        <v>49</v>
      </c>
      <c r="P500" s="29" t="n">
        <f aca="false">O500+H500</f>
        <v>57</v>
      </c>
      <c r="Q500" s="29" t="n">
        <f aca="false">P500+I500</f>
        <v>66</v>
      </c>
    </row>
    <row r="501" customFormat="false" ht="15" hidden="false" customHeight="false" outlineLevel="0" collapsed="false">
      <c r="A501" s="29" t="n">
        <v>500</v>
      </c>
      <c r="B501" s="29" t="n">
        <f aca="false">INDEX(Sprint_Metrics!$F$7:$F$16,RANDBETWEEN(1,ROWS(Sprint_Metrics!$F$7:$F$16)))</f>
        <v>8</v>
      </c>
      <c r="C501" s="29" t="n">
        <f aca="false">INDEX(Sprint_Metrics!$F$7:$F$16,RANDBETWEEN(1,ROWS(Sprint_Metrics!$F$7:$F$16)))</f>
        <v>9</v>
      </c>
      <c r="D501" s="29" t="n">
        <f aca="false">INDEX(Sprint_Metrics!$F$7:$F$16,RANDBETWEEN(1,ROWS(Sprint_Metrics!$F$7:$F$16)))</f>
        <v>7</v>
      </c>
      <c r="E501" s="29" t="n">
        <f aca="false">INDEX(Sprint_Metrics!$F$7:$F$16,RANDBETWEEN(1,ROWS(Sprint_Metrics!$F$7:$F$16)))</f>
        <v>8</v>
      </c>
      <c r="F501" s="29" t="n">
        <f aca="false">INDEX(Sprint_Metrics!$F$7:$F$16,RANDBETWEEN(1,ROWS(Sprint_Metrics!$F$7:$F$16)))</f>
        <v>7</v>
      </c>
      <c r="G501" s="29" t="n">
        <f aca="false">INDEX(Sprint_Metrics!$F$7:$F$16,RANDBETWEEN(1,ROWS(Sprint_Metrics!$F$7:$F$16)))</f>
        <v>11</v>
      </c>
      <c r="H501" s="29" t="n">
        <f aca="false">INDEX(Sprint_Metrics!$F$7:$F$16,RANDBETWEEN(1,ROWS(Sprint_Metrics!$F$7:$F$16)))</f>
        <v>8</v>
      </c>
      <c r="I501" s="29" t="n">
        <f aca="false">INDEX(Sprint_Metrics!$F$7:$F$16,RANDBETWEEN(1,ROWS(Sprint_Metrics!$F$7:$F$16)))</f>
        <v>7</v>
      </c>
      <c r="J501" s="29" t="n">
        <f aca="false">B501</f>
        <v>8</v>
      </c>
      <c r="K501" s="29" t="n">
        <f aca="false">J501+C501</f>
        <v>17</v>
      </c>
      <c r="L501" s="29" t="n">
        <f aca="false">K501+D501</f>
        <v>24</v>
      </c>
      <c r="M501" s="29" t="n">
        <f aca="false">L501+E501</f>
        <v>32</v>
      </c>
      <c r="N501" s="29" t="n">
        <f aca="false">M501+F501</f>
        <v>39</v>
      </c>
      <c r="O501" s="29" t="n">
        <f aca="false">N501+G501</f>
        <v>50</v>
      </c>
      <c r="P501" s="29" t="n">
        <f aca="false">O501+H501</f>
        <v>58</v>
      </c>
      <c r="Q501" s="29" t="n">
        <f aca="false">P501+I501</f>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1"/>
    <col collapsed="false" customWidth="true" hidden="false" outlineLevel="0" max="4" min="4" style="0" width="12"/>
    <col collapsed="false" customWidth="true" hidden="false" outlineLevel="0" max="5" min="5" style="0" width="9"/>
    <col collapsed="false" customWidth="true" hidden="false" outlineLevel="0" max="6" min="6" style="0" width="17"/>
    <col collapsed="false" customWidth="true" hidden="false" outlineLevel="0" max="11" min="7" style="0" width="12"/>
  </cols>
  <sheetData>
    <row r="1" customFormat="false" ht="31.5" hidden="false" customHeight="true" outlineLevel="0" collapsed="false">
      <c r="A1" s="16" t="s">
        <v>106</v>
      </c>
      <c r="B1" s="16" t="s">
        <v>107</v>
      </c>
      <c r="C1" s="16" t="s">
        <v>108</v>
      </c>
      <c r="D1" s="16" t="s">
        <v>109</v>
      </c>
      <c r="E1" s="16" t="s">
        <v>110</v>
      </c>
      <c r="F1" s="16" t="s">
        <v>111</v>
      </c>
      <c r="G1" s="16" t="s">
        <v>112</v>
      </c>
      <c r="H1" s="16" t="s">
        <v>113</v>
      </c>
      <c r="I1" s="16" t="s">
        <v>114</v>
      </c>
      <c r="J1" s="16" t="s">
        <v>115</v>
      </c>
      <c r="K1" s="16" t="s">
        <v>116</v>
      </c>
    </row>
    <row r="2" customFormat="false" ht="15" hidden="false" customHeight="false" outlineLevel="0" collapsed="false">
      <c r="A2" s="29" t="s">
        <v>117</v>
      </c>
      <c r="B2" s="29" t="s">
        <v>118</v>
      </c>
      <c r="C2" s="29" t="s">
        <v>119</v>
      </c>
      <c r="D2" s="29" t="s">
        <v>120</v>
      </c>
      <c r="E2" s="29" t="n">
        <v>2</v>
      </c>
      <c r="F2" s="29" t="s">
        <v>62</v>
      </c>
      <c r="G2" s="30" t="n">
        <v>46060</v>
      </c>
      <c r="H2" s="30" t="n">
        <v>46085</v>
      </c>
      <c r="I2" s="30" t="n">
        <v>46091</v>
      </c>
      <c r="J2" s="31" t="n">
        <f aca="false">IF(AND(ISNUMBER(H2),ISNUMBER(I2)),I2-H2,"")</f>
        <v>6</v>
      </c>
      <c r="K2" s="31" t="n">
        <f aca="false">IF(AND(ISNUMBER(G2),ISNUMBER(I2)),I2-G2,"")</f>
        <v>31</v>
      </c>
    </row>
    <row r="3" customFormat="false" ht="15" hidden="false" customHeight="false" outlineLevel="0" collapsed="false">
      <c r="A3" s="29" t="s">
        <v>121</v>
      </c>
      <c r="B3" s="29" t="s">
        <v>122</v>
      </c>
      <c r="C3" s="29" t="s">
        <v>123</v>
      </c>
      <c r="D3" s="29" t="s">
        <v>120</v>
      </c>
      <c r="E3" s="29" t="n">
        <v>2</v>
      </c>
      <c r="F3" s="29" t="s">
        <v>62</v>
      </c>
      <c r="G3" s="30" t="n">
        <v>46061</v>
      </c>
      <c r="H3" s="30" t="n">
        <v>46090</v>
      </c>
      <c r="I3" s="30" t="n">
        <v>46098</v>
      </c>
      <c r="J3" s="31" t="n">
        <f aca="false">IF(AND(ISNUMBER(H3),ISNUMBER(I3)),I3-H3,"")</f>
        <v>8</v>
      </c>
      <c r="K3" s="31" t="n">
        <f aca="false">IF(AND(ISNUMBER(G3),ISNUMBER(I3)),I3-G3,"")</f>
        <v>37</v>
      </c>
    </row>
    <row r="4" customFormat="false" ht="15" hidden="false" customHeight="false" outlineLevel="0" collapsed="false">
      <c r="A4" s="29" t="s">
        <v>124</v>
      </c>
      <c r="B4" s="29" t="s">
        <v>125</v>
      </c>
      <c r="C4" s="29" t="s">
        <v>123</v>
      </c>
      <c r="D4" s="29" t="s">
        <v>120</v>
      </c>
      <c r="E4" s="29" t="n">
        <v>2</v>
      </c>
      <c r="F4" s="29" t="s">
        <v>62</v>
      </c>
      <c r="G4" s="30" t="n">
        <v>46063</v>
      </c>
      <c r="H4" s="30" t="n">
        <v>46087</v>
      </c>
      <c r="I4" s="30" t="n">
        <v>46091</v>
      </c>
      <c r="J4" s="31" t="n">
        <f aca="false">IF(AND(ISNUMBER(H4),ISNUMBER(I4)),I4-H4,"")</f>
        <v>4</v>
      </c>
      <c r="K4" s="31" t="n">
        <f aca="false">IF(AND(ISNUMBER(G4),ISNUMBER(I4)),I4-G4,"")</f>
        <v>28</v>
      </c>
    </row>
    <row r="5" customFormat="false" ht="15" hidden="false" customHeight="false" outlineLevel="0" collapsed="false">
      <c r="A5" s="29" t="s">
        <v>126</v>
      </c>
      <c r="B5" s="29" t="s">
        <v>127</v>
      </c>
      <c r="C5" s="29" t="s">
        <v>123</v>
      </c>
      <c r="D5" s="29" t="s">
        <v>120</v>
      </c>
      <c r="E5" s="29" t="n">
        <v>5</v>
      </c>
      <c r="F5" s="29" t="s">
        <v>62</v>
      </c>
      <c r="G5" s="30" t="n">
        <v>46065</v>
      </c>
      <c r="H5" s="30" t="n">
        <v>46083</v>
      </c>
      <c r="I5" s="30" t="n">
        <v>46090</v>
      </c>
      <c r="J5" s="31" t="n">
        <f aca="false">IF(AND(ISNUMBER(H5),ISNUMBER(I5)),I5-H5,"")</f>
        <v>7</v>
      </c>
      <c r="K5" s="31" t="n">
        <f aca="false">IF(AND(ISNUMBER(G5),ISNUMBER(I5)),I5-G5,"")</f>
        <v>25</v>
      </c>
    </row>
    <row r="6" customFormat="false" ht="15" hidden="false" customHeight="false" outlineLevel="0" collapsed="false">
      <c r="A6" s="29" t="s">
        <v>128</v>
      </c>
      <c r="B6" s="29" t="s">
        <v>129</v>
      </c>
      <c r="C6" s="29" t="s">
        <v>119</v>
      </c>
      <c r="D6" s="29" t="s">
        <v>120</v>
      </c>
      <c r="E6" s="29" t="n">
        <v>1</v>
      </c>
      <c r="F6" s="29" t="s">
        <v>63</v>
      </c>
      <c r="G6" s="30" t="n">
        <v>46074</v>
      </c>
      <c r="H6" s="30" t="n">
        <v>46098</v>
      </c>
      <c r="I6" s="30" t="n">
        <v>46101</v>
      </c>
      <c r="J6" s="31" t="n">
        <f aca="false">IF(AND(ISNUMBER(H6),ISNUMBER(I6)),I6-H6,"")</f>
        <v>3</v>
      </c>
      <c r="K6" s="31" t="n">
        <f aca="false">IF(AND(ISNUMBER(G6),ISNUMBER(I6)),I6-G6,"")</f>
        <v>27</v>
      </c>
    </row>
    <row r="7" customFormat="false" ht="15" hidden="false" customHeight="false" outlineLevel="0" collapsed="false">
      <c r="A7" s="29" t="s">
        <v>130</v>
      </c>
      <c r="B7" s="29" t="s">
        <v>131</v>
      </c>
      <c r="C7" s="29" t="s">
        <v>119</v>
      </c>
      <c r="D7" s="29" t="s">
        <v>120</v>
      </c>
      <c r="E7" s="29" t="n">
        <v>1</v>
      </c>
      <c r="F7" s="29" t="s">
        <v>62</v>
      </c>
      <c r="G7" s="30" t="n">
        <v>46075</v>
      </c>
      <c r="H7" s="30" t="n">
        <v>46084</v>
      </c>
      <c r="I7" s="30" t="n">
        <v>46085</v>
      </c>
      <c r="J7" s="31" t="n">
        <f aca="false">IF(AND(ISNUMBER(H7),ISNUMBER(I7)),I7-H7,"")</f>
        <v>1</v>
      </c>
      <c r="K7" s="31" t="n">
        <f aca="false">IF(AND(ISNUMBER(G7),ISNUMBER(I7)),I7-G7,"")</f>
        <v>10</v>
      </c>
    </row>
    <row r="8" customFormat="false" ht="15" hidden="false" customHeight="false" outlineLevel="0" collapsed="false">
      <c r="A8" s="29" t="s">
        <v>132</v>
      </c>
      <c r="B8" s="29" t="s">
        <v>133</v>
      </c>
      <c r="C8" s="29" t="s">
        <v>119</v>
      </c>
      <c r="D8" s="29" t="s">
        <v>120</v>
      </c>
      <c r="E8" s="29" t="n">
        <v>3</v>
      </c>
      <c r="F8" s="29" t="s">
        <v>63</v>
      </c>
      <c r="G8" s="30" t="n">
        <v>46075</v>
      </c>
      <c r="H8" s="30" t="n">
        <v>46100</v>
      </c>
      <c r="I8" s="30" t="n">
        <v>46108</v>
      </c>
      <c r="J8" s="31" t="n">
        <f aca="false">IF(AND(ISNUMBER(H8),ISNUMBER(I8)),I8-H8,"")</f>
        <v>8</v>
      </c>
      <c r="K8" s="31" t="n">
        <f aca="false">IF(AND(ISNUMBER(G8),ISNUMBER(I8)),I8-G8,"")</f>
        <v>33</v>
      </c>
    </row>
    <row r="9" customFormat="false" ht="15" hidden="false" customHeight="false" outlineLevel="0" collapsed="false">
      <c r="A9" s="29" t="s">
        <v>134</v>
      </c>
      <c r="B9" s="29" t="s">
        <v>135</v>
      </c>
      <c r="C9" s="29" t="s">
        <v>136</v>
      </c>
      <c r="D9" s="29" t="s">
        <v>120</v>
      </c>
      <c r="E9" s="29" t="n">
        <v>1</v>
      </c>
      <c r="F9" s="29" t="s">
        <v>62</v>
      </c>
      <c r="G9" s="30" t="n">
        <v>46076</v>
      </c>
      <c r="H9" s="30" t="n">
        <v>46091</v>
      </c>
      <c r="I9" s="30" t="n">
        <v>46097</v>
      </c>
      <c r="J9" s="31" t="n">
        <f aca="false">IF(AND(ISNUMBER(H9),ISNUMBER(I9)),I9-H9,"")</f>
        <v>6</v>
      </c>
      <c r="K9" s="31" t="n">
        <f aca="false">IF(AND(ISNUMBER(G9),ISNUMBER(I9)),I9-G9,"")</f>
        <v>21</v>
      </c>
    </row>
    <row r="10" customFormat="false" ht="15" hidden="false" customHeight="false" outlineLevel="0" collapsed="false">
      <c r="A10" s="29" t="s">
        <v>137</v>
      </c>
      <c r="B10" s="29" t="s">
        <v>138</v>
      </c>
      <c r="C10" s="29" t="s">
        <v>136</v>
      </c>
      <c r="D10" s="29" t="s">
        <v>120</v>
      </c>
      <c r="E10" s="29" t="n">
        <v>1</v>
      </c>
      <c r="F10" s="29" t="s">
        <v>62</v>
      </c>
      <c r="G10" s="30" t="n">
        <v>46079</v>
      </c>
      <c r="H10" s="30" t="n">
        <v>46085</v>
      </c>
      <c r="I10" s="30" t="n">
        <v>46090</v>
      </c>
      <c r="J10" s="31" t="n">
        <f aca="false">IF(AND(ISNUMBER(H10),ISNUMBER(I10)),I10-H10,"")</f>
        <v>5</v>
      </c>
      <c r="K10" s="31" t="n">
        <f aca="false">IF(AND(ISNUMBER(G10),ISNUMBER(I10)),I10-G10,"")</f>
        <v>11</v>
      </c>
    </row>
    <row r="11" customFormat="false" ht="15" hidden="false" customHeight="false" outlineLevel="0" collapsed="false">
      <c r="A11" s="29" t="s">
        <v>139</v>
      </c>
      <c r="B11" s="29" t="s">
        <v>135</v>
      </c>
      <c r="C11" s="29" t="s">
        <v>136</v>
      </c>
      <c r="D11" s="29" t="s">
        <v>120</v>
      </c>
      <c r="E11" s="29" t="n">
        <v>1</v>
      </c>
      <c r="F11" s="29" t="s">
        <v>63</v>
      </c>
      <c r="G11" s="30" t="n">
        <v>46079</v>
      </c>
      <c r="H11" s="30" t="n">
        <v>46104</v>
      </c>
      <c r="I11" s="30" t="n">
        <v>46107</v>
      </c>
      <c r="J11" s="31" t="n">
        <f aca="false">IF(AND(ISNUMBER(H11),ISNUMBER(I11)),I11-H11,"")</f>
        <v>3</v>
      </c>
      <c r="K11" s="31" t="n">
        <f aca="false">IF(AND(ISNUMBER(G11),ISNUMBER(I11)),I11-G11,"")</f>
        <v>28</v>
      </c>
    </row>
    <row r="12" customFormat="false" ht="15" hidden="false" customHeight="false" outlineLevel="0" collapsed="false">
      <c r="A12" s="29" t="s">
        <v>140</v>
      </c>
      <c r="B12" s="29" t="s">
        <v>141</v>
      </c>
      <c r="C12" s="29" t="s">
        <v>136</v>
      </c>
      <c r="D12" s="29" t="s">
        <v>120</v>
      </c>
      <c r="E12" s="29" t="n">
        <v>2</v>
      </c>
      <c r="F12" s="29" t="s">
        <v>62</v>
      </c>
      <c r="G12" s="30" t="n">
        <v>46080</v>
      </c>
      <c r="H12" s="30" t="n">
        <v>46090</v>
      </c>
      <c r="I12" s="30" t="n">
        <v>46093</v>
      </c>
      <c r="J12" s="31" t="n">
        <f aca="false">IF(AND(ISNUMBER(H12),ISNUMBER(I12)),I12-H12,"")</f>
        <v>3</v>
      </c>
      <c r="K12" s="31" t="n">
        <f aca="false">IF(AND(ISNUMBER(G12),ISNUMBER(I12)),I12-G12,"")</f>
        <v>13</v>
      </c>
    </row>
    <row r="13" customFormat="false" ht="15" hidden="false" customHeight="false" outlineLevel="0" collapsed="false">
      <c r="A13" s="29" t="s">
        <v>142</v>
      </c>
      <c r="B13" s="29" t="s">
        <v>143</v>
      </c>
      <c r="C13" s="29" t="s">
        <v>119</v>
      </c>
      <c r="D13" s="29" t="s">
        <v>120</v>
      </c>
      <c r="E13" s="29" t="n">
        <v>1</v>
      </c>
      <c r="F13" s="29" t="s">
        <v>63</v>
      </c>
      <c r="G13" s="30" t="n">
        <v>46080</v>
      </c>
      <c r="H13" s="30" t="n">
        <v>46099</v>
      </c>
      <c r="I13" s="30" t="n">
        <v>46101</v>
      </c>
      <c r="J13" s="31" t="n">
        <f aca="false">IF(AND(ISNUMBER(H13),ISNUMBER(I13)),I13-H13,"")</f>
        <v>2</v>
      </c>
      <c r="K13" s="31" t="n">
        <f aca="false">IF(AND(ISNUMBER(G13),ISNUMBER(I13)),I13-G13,"")</f>
        <v>21</v>
      </c>
    </row>
    <row r="14" customFormat="false" ht="15" hidden="false" customHeight="false" outlineLevel="0" collapsed="false">
      <c r="A14" s="29" t="s">
        <v>144</v>
      </c>
      <c r="B14" s="29" t="s">
        <v>141</v>
      </c>
      <c r="C14" s="29" t="s">
        <v>136</v>
      </c>
      <c r="D14" s="29" t="s">
        <v>120</v>
      </c>
      <c r="E14" s="29" t="n">
        <v>3</v>
      </c>
      <c r="F14" s="29" t="s">
        <v>62</v>
      </c>
      <c r="G14" s="30" t="n">
        <v>46081</v>
      </c>
      <c r="H14" s="30" t="n">
        <v>46090</v>
      </c>
      <c r="I14" s="30" t="n">
        <v>46092</v>
      </c>
      <c r="J14" s="31" t="n">
        <f aca="false">IF(AND(ISNUMBER(H14),ISNUMBER(I14)),I14-H14,"")</f>
        <v>2</v>
      </c>
      <c r="K14" s="31" t="n">
        <f aca="false">IF(AND(ISNUMBER(G14),ISNUMBER(I14)),I14-G14,"")</f>
        <v>11</v>
      </c>
    </row>
    <row r="15" customFormat="false" ht="15" hidden="false" customHeight="false" outlineLevel="0" collapsed="false">
      <c r="A15" s="29" t="s">
        <v>145</v>
      </c>
      <c r="B15" s="29" t="s">
        <v>146</v>
      </c>
      <c r="C15" s="29" t="s">
        <v>136</v>
      </c>
      <c r="D15" s="29" t="s">
        <v>120</v>
      </c>
      <c r="E15" s="29" t="n">
        <v>1</v>
      </c>
      <c r="F15" s="29" t="s">
        <v>63</v>
      </c>
      <c r="G15" s="30" t="n">
        <v>46081</v>
      </c>
      <c r="H15" s="30" t="n">
        <v>46104</v>
      </c>
      <c r="I15" s="30" t="n">
        <v>46114</v>
      </c>
      <c r="J15" s="31" t="n">
        <f aca="false">IF(AND(ISNUMBER(H15),ISNUMBER(I15)),I15-H15,"")</f>
        <v>10</v>
      </c>
      <c r="K15" s="31" t="n">
        <f aca="false">IF(AND(ISNUMBER(G15),ISNUMBER(I15)),I15-G15,"")</f>
        <v>33</v>
      </c>
    </row>
    <row r="16" customFormat="false" ht="15" hidden="false" customHeight="false" outlineLevel="0" collapsed="false">
      <c r="A16" s="29" t="s">
        <v>147</v>
      </c>
      <c r="B16" s="29" t="s">
        <v>138</v>
      </c>
      <c r="C16" s="29" t="s">
        <v>136</v>
      </c>
      <c r="D16" s="29" t="s">
        <v>120</v>
      </c>
      <c r="E16" s="29" t="n">
        <v>1</v>
      </c>
      <c r="F16" s="29" t="s">
        <v>62</v>
      </c>
      <c r="G16" s="30" t="n">
        <v>46082</v>
      </c>
      <c r="H16" s="30" t="n">
        <v>46090</v>
      </c>
      <c r="I16" s="30" t="n">
        <v>46094</v>
      </c>
      <c r="J16" s="31" t="n">
        <f aca="false">IF(AND(ISNUMBER(H16),ISNUMBER(I16)),I16-H16,"")</f>
        <v>4</v>
      </c>
      <c r="K16" s="31" t="n">
        <f aca="false">IF(AND(ISNUMBER(G16),ISNUMBER(I16)),I16-G16,"")</f>
        <v>12</v>
      </c>
    </row>
    <row r="17" customFormat="false" ht="15" hidden="false" customHeight="false" outlineLevel="0" collapsed="false">
      <c r="A17" s="29" t="s">
        <v>148</v>
      </c>
      <c r="B17" s="29" t="s">
        <v>149</v>
      </c>
      <c r="C17" s="29" t="s">
        <v>119</v>
      </c>
      <c r="D17" s="29" t="s">
        <v>120</v>
      </c>
      <c r="E17" s="29" t="n">
        <v>3</v>
      </c>
      <c r="F17" s="29" t="s">
        <v>63</v>
      </c>
      <c r="G17" s="30" t="n">
        <v>46084</v>
      </c>
      <c r="H17" s="30" t="n">
        <v>46104</v>
      </c>
      <c r="I17" s="30" t="n">
        <v>46107</v>
      </c>
      <c r="J17" s="31" t="n">
        <f aca="false">IF(AND(ISNUMBER(H17),ISNUMBER(I17)),I17-H17,"")</f>
        <v>3</v>
      </c>
      <c r="K17" s="31" t="n">
        <f aca="false">IF(AND(ISNUMBER(G17),ISNUMBER(I17)),I17-G17,"")</f>
        <v>23</v>
      </c>
    </row>
    <row r="18" customFormat="false" ht="15" hidden="false" customHeight="false" outlineLevel="0" collapsed="false">
      <c r="A18" s="29" t="s">
        <v>150</v>
      </c>
      <c r="B18" s="29" t="s">
        <v>127</v>
      </c>
      <c r="C18" s="29" t="s">
        <v>123</v>
      </c>
      <c r="D18" s="29" t="s">
        <v>120</v>
      </c>
      <c r="E18" s="29" t="n">
        <v>5</v>
      </c>
      <c r="F18" s="29" t="s">
        <v>63</v>
      </c>
      <c r="G18" s="30" t="n">
        <v>46084</v>
      </c>
      <c r="H18" s="30" t="n">
        <v>46105</v>
      </c>
      <c r="I18" s="30" t="n">
        <v>46113</v>
      </c>
      <c r="J18" s="31" t="n">
        <f aca="false">IF(AND(ISNUMBER(H18),ISNUMBER(I18)),I18-H18,"")</f>
        <v>8</v>
      </c>
      <c r="K18" s="31" t="n">
        <f aca="false">IF(AND(ISNUMBER(G18),ISNUMBER(I18)),I18-G18,"")</f>
        <v>29</v>
      </c>
    </row>
    <row r="19" customFormat="false" ht="15" hidden="false" customHeight="false" outlineLevel="0" collapsed="false">
      <c r="A19" s="29" t="s">
        <v>151</v>
      </c>
      <c r="B19" s="29" t="s">
        <v>152</v>
      </c>
      <c r="C19" s="29" t="s">
        <v>136</v>
      </c>
      <c r="D19" s="29" t="s">
        <v>120</v>
      </c>
      <c r="E19" s="29" t="n">
        <v>1</v>
      </c>
      <c r="F19" s="29" t="s">
        <v>63</v>
      </c>
      <c r="G19" s="30" t="n">
        <v>46086</v>
      </c>
      <c r="H19" s="30" t="n">
        <v>46105</v>
      </c>
      <c r="I19" s="30" t="n">
        <v>46107</v>
      </c>
      <c r="J19" s="31" t="n">
        <f aca="false">IF(AND(ISNUMBER(H19),ISNUMBER(I19)),I19-H19,"")</f>
        <v>2</v>
      </c>
      <c r="K19" s="31" t="n">
        <f aca="false">IF(AND(ISNUMBER(G19),ISNUMBER(I19)),I19-G19,"")</f>
        <v>21</v>
      </c>
    </row>
    <row r="20" customFormat="false" ht="15" hidden="false" customHeight="false" outlineLevel="0" collapsed="false">
      <c r="A20" s="29" t="s">
        <v>153</v>
      </c>
      <c r="B20" s="29" t="s">
        <v>122</v>
      </c>
      <c r="C20" s="29" t="s">
        <v>123</v>
      </c>
      <c r="D20" s="29" t="s">
        <v>120</v>
      </c>
      <c r="E20" s="29" t="n">
        <v>2</v>
      </c>
      <c r="F20" s="29" t="s">
        <v>64</v>
      </c>
      <c r="G20" s="30" t="n">
        <v>46086</v>
      </c>
      <c r="H20" s="30" t="n">
        <v>46114</v>
      </c>
      <c r="I20" s="30" t="n">
        <v>46118</v>
      </c>
      <c r="J20" s="31" t="n">
        <f aca="false">IF(AND(ISNUMBER(H20),ISNUMBER(I20)),I20-H20,"")</f>
        <v>4</v>
      </c>
      <c r="K20" s="31" t="n">
        <f aca="false">IF(AND(ISNUMBER(G20),ISNUMBER(I20)),I20-G20,"")</f>
        <v>32</v>
      </c>
    </row>
    <row r="21" customFormat="false" ht="15" hidden="false" customHeight="false" outlineLevel="0" collapsed="false">
      <c r="A21" s="29" t="s">
        <v>154</v>
      </c>
      <c r="B21" s="29" t="s">
        <v>127</v>
      </c>
      <c r="C21" s="29" t="s">
        <v>123</v>
      </c>
      <c r="D21" s="29" t="s">
        <v>120</v>
      </c>
      <c r="E21" s="29" t="n">
        <v>3</v>
      </c>
      <c r="F21" s="29" t="s">
        <v>64</v>
      </c>
      <c r="G21" s="30" t="n">
        <v>46089</v>
      </c>
      <c r="H21" s="30" t="n">
        <v>46112</v>
      </c>
      <c r="I21" s="30" t="n">
        <v>46115</v>
      </c>
      <c r="J21" s="31" t="n">
        <f aca="false">IF(AND(ISNUMBER(H21),ISNUMBER(I21)),I21-H21,"")</f>
        <v>3</v>
      </c>
      <c r="K21" s="31" t="n">
        <f aca="false">IF(AND(ISNUMBER(G21),ISNUMBER(I21)),I21-G21,"")</f>
        <v>26</v>
      </c>
    </row>
    <row r="22" customFormat="false" ht="15" hidden="false" customHeight="false" outlineLevel="0" collapsed="false">
      <c r="A22" s="29" t="s">
        <v>155</v>
      </c>
      <c r="B22" s="29" t="s">
        <v>156</v>
      </c>
      <c r="C22" s="29" t="s">
        <v>119</v>
      </c>
      <c r="D22" s="29" t="s">
        <v>120</v>
      </c>
      <c r="E22" s="29" t="n">
        <v>3</v>
      </c>
      <c r="F22" s="29" t="s">
        <v>63</v>
      </c>
      <c r="G22" s="30" t="n">
        <v>46091</v>
      </c>
      <c r="H22" s="30" t="n">
        <v>46104</v>
      </c>
      <c r="I22" s="30" t="n">
        <v>46107</v>
      </c>
      <c r="J22" s="31" t="n">
        <f aca="false">IF(AND(ISNUMBER(H22),ISNUMBER(I22)),I22-H22,"")</f>
        <v>3</v>
      </c>
      <c r="K22" s="31" t="n">
        <f aca="false">IF(AND(ISNUMBER(G22),ISNUMBER(I22)),I22-G22,"")</f>
        <v>16</v>
      </c>
    </row>
    <row r="23" customFormat="false" ht="15" hidden="false" customHeight="false" outlineLevel="0" collapsed="false">
      <c r="A23" s="29" t="s">
        <v>157</v>
      </c>
      <c r="B23" s="29" t="s">
        <v>143</v>
      </c>
      <c r="C23" s="29" t="s">
        <v>119</v>
      </c>
      <c r="D23" s="29" t="s">
        <v>120</v>
      </c>
      <c r="E23" s="29" t="n">
        <v>1</v>
      </c>
      <c r="F23" s="29" t="s">
        <v>64</v>
      </c>
      <c r="G23" s="30" t="n">
        <v>46091</v>
      </c>
      <c r="H23" s="30" t="n">
        <v>46113</v>
      </c>
      <c r="I23" s="30" t="n">
        <v>46115</v>
      </c>
      <c r="J23" s="31" t="n">
        <f aca="false">IF(AND(ISNUMBER(H23),ISNUMBER(I23)),I23-H23,"")</f>
        <v>2</v>
      </c>
      <c r="K23" s="31" t="n">
        <f aca="false">IF(AND(ISNUMBER(G23),ISNUMBER(I23)),I23-G23,"")</f>
        <v>24</v>
      </c>
    </row>
    <row r="24" customFormat="false" ht="15" hidden="false" customHeight="false" outlineLevel="0" collapsed="false">
      <c r="A24" s="29" t="s">
        <v>158</v>
      </c>
      <c r="B24" s="29" t="s">
        <v>159</v>
      </c>
      <c r="C24" s="29" t="s">
        <v>119</v>
      </c>
      <c r="D24" s="29" t="s">
        <v>120</v>
      </c>
      <c r="E24" s="29" t="n">
        <v>1</v>
      </c>
      <c r="F24" s="29" t="s">
        <v>63</v>
      </c>
      <c r="G24" s="30" t="n">
        <v>46092</v>
      </c>
      <c r="H24" s="30" t="n">
        <v>46104</v>
      </c>
      <c r="I24" s="30" t="n">
        <v>46106</v>
      </c>
      <c r="J24" s="31" t="n">
        <f aca="false">IF(AND(ISNUMBER(H24),ISNUMBER(I24)),I24-H24,"")</f>
        <v>2</v>
      </c>
      <c r="K24" s="31" t="n">
        <f aca="false">IF(AND(ISNUMBER(G24),ISNUMBER(I24)),I24-G24,"")</f>
        <v>14</v>
      </c>
    </row>
    <row r="25" customFormat="false" ht="15" hidden="false" customHeight="false" outlineLevel="0" collapsed="false">
      <c r="A25" s="29" t="s">
        <v>160</v>
      </c>
      <c r="B25" s="29" t="s">
        <v>149</v>
      </c>
      <c r="C25" s="29" t="s">
        <v>119</v>
      </c>
      <c r="D25" s="29" t="s">
        <v>120</v>
      </c>
      <c r="E25" s="29" t="n">
        <v>1</v>
      </c>
      <c r="F25" s="29" t="s">
        <v>63</v>
      </c>
      <c r="G25" s="30" t="n">
        <v>46094</v>
      </c>
      <c r="H25" s="30" t="n">
        <v>46097</v>
      </c>
      <c r="I25" s="30" t="n">
        <v>46100</v>
      </c>
      <c r="J25" s="31" t="n">
        <f aca="false">IF(AND(ISNUMBER(H25),ISNUMBER(I25)),I25-H25,"")</f>
        <v>3</v>
      </c>
      <c r="K25" s="31" t="n">
        <f aca="false">IF(AND(ISNUMBER(G25),ISNUMBER(I25)),I25-G25,"")</f>
        <v>6</v>
      </c>
    </row>
    <row r="26" customFormat="false" ht="15" hidden="false" customHeight="false" outlineLevel="0" collapsed="false">
      <c r="A26" s="29" t="s">
        <v>161</v>
      </c>
      <c r="B26" s="29" t="s">
        <v>162</v>
      </c>
      <c r="C26" s="29" t="s">
        <v>136</v>
      </c>
      <c r="D26" s="29" t="s">
        <v>120</v>
      </c>
      <c r="E26" s="29" t="n">
        <v>1</v>
      </c>
      <c r="F26" s="29" t="s">
        <v>64</v>
      </c>
      <c r="G26" s="30" t="n">
        <v>46094</v>
      </c>
      <c r="H26" s="30" t="n">
        <v>46112</v>
      </c>
      <c r="I26" s="30" t="n">
        <v>46125</v>
      </c>
      <c r="J26" s="31" t="n">
        <f aca="false">IF(AND(ISNUMBER(H26),ISNUMBER(I26)),I26-H26,"")</f>
        <v>13</v>
      </c>
      <c r="K26" s="31" t="n">
        <f aca="false">IF(AND(ISNUMBER(G26),ISNUMBER(I26)),I26-G26,"")</f>
        <v>31</v>
      </c>
    </row>
    <row r="27" customFormat="false" ht="15" hidden="false" customHeight="false" outlineLevel="0" collapsed="false">
      <c r="A27" s="29" t="s">
        <v>163</v>
      </c>
      <c r="B27" s="29" t="s">
        <v>122</v>
      </c>
      <c r="C27" s="29" t="s">
        <v>123</v>
      </c>
      <c r="D27" s="29" t="s">
        <v>120</v>
      </c>
      <c r="E27" s="29" t="n">
        <v>3</v>
      </c>
      <c r="F27" s="29" t="s">
        <v>64</v>
      </c>
      <c r="G27" s="30" t="n">
        <v>46095</v>
      </c>
      <c r="H27" s="30" t="n">
        <v>46119</v>
      </c>
      <c r="I27" s="30" t="n">
        <v>46132</v>
      </c>
      <c r="J27" s="31" t="n">
        <f aca="false">IF(AND(ISNUMBER(H27),ISNUMBER(I27)),I27-H27,"")</f>
        <v>13</v>
      </c>
      <c r="K27" s="31" t="n">
        <f aca="false">IF(AND(ISNUMBER(G27),ISNUMBER(I27)),I27-G27,"")</f>
        <v>37</v>
      </c>
    </row>
    <row r="28" customFormat="false" ht="15" hidden="false" customHeight="false" outlineLevel="0" collapsed="false">
      <c r="A28" s="29" t="s">
        <v>164</v>
      </c>
      <c r="B28" s="29" t="s">
        <v>165</v>
      </c>
      <c r="C28" s="29" t="s">
        <v>136</v>
      </c>
      <c r="D28" s="29" t="s">
        <v>120</v>
      </c>
      <c r="E28" s="29" t="n">
        <v>1</v>
      </c>
      <c r="F28" s="29" t="s">
        <v>64</v>
      </c>
      <c r="G28" s="30" t="n">
        <v>46095</v>
      </c>
      <c r="H28" s="30" t="n">
        <v>46114</v>
      </c>
      <c r="I28" s="30" t="n">
        <v>46118</v>
      </c>
      <c r="J28" s="31" t="n">
        <f aca="false">IF(AND(ISNUMBER(H28),ISNUMBER(I28)),I28-H28,"")</f>
        <v>4</v>
      </c>
      <c r="K28" s="31" t="n">
        <f aca="false">IF(AND(ISNUMBER(G28),ISNUMBER(I28)),I28-G28,"")</f>
        <v>23</v>
      </c>
    </row>
    <row r="29" customFormat="false" ht="15" hidden="false" customHeight="false" outlineLevel="0" collapsed="false">
      <c r="A29" s="29" t="s">
        <v>166</v>
      </c>
      <c r="B29" s="29" t="s">
        <v>167</v>
      </c>
      <c r="C29" s="29" t="s">
        <v>119</v>
      </c>
      <c r="D29" s="29" t="s">
        <v>120</v>
      </c>
      <c r="E29" s="29" t="n">
        <v>5</v>
      </c>
      <c r="F29" s="29" t="s">
        <v>64</v>
      </c>
      <c r="G29" s="30" t="n">
        <v>46096</v>
      </c>
      <c r="H29" s="30" t="n">
        <v>46118</v>
      </c>
      <c r="I29" s="30" t="n">
        <v>46122</v>
      </c>
      <c r="J29" s="31" t="n">
        <f aca="false">IF(AND(ISNUMBER(H29),ISNUMBER(I29)),I29-H29,"")</f>
        <v>4</v>
      </c>
      <c r="K29" s="31" t="n">
        <f aca="false">IF(AND(ISNUMBER(G29),ISNUMBER(I29)),I29-G29,"")</f>
        <v>26</v>
      </c>
    </row>
    <row r="30" customFormat="false" ht="15" hidden="false" customHeight="false" outlineLevel="0" collapsed="false">
      <c r="A30" s="29" t="s">
        <v>168</v>
      </c>
      <c r="B30" s="29" t="s">
        <v>169</v>
      </c>
      <c r="C30" s="29" t="s">
        <v>119</v>
      </c>
      <c r="D30" s="29" t="s">
        <v>120</v>
      </c>
      <c r="E30" s="29" t="n">
        <v>3</v>
      </c>
      <c r="F30" s="29" t="s">
        <v>64</v>
      </c>
      <c r="G30" s="30" t="n">
        <v>46096</v>
      </c>
      <c r="H30" s="30" t="n">
        <v>46118</v>
      </c>
      <c r="I30" s="30" t="n">
        <v>46120</v>
      </c>
      <c r="J30" s="31" t="n">
        <f aca="false">IF(AND(ISNUMBER(H30),ISNUMBER(I30)),I30-H30,"")</f>
        <v>2</v>
      </c>
      <c r="K30" s="31" t="n">
        <f aca="false">IF(AND(ISNUMBER(G30),ISNUMBER(I30)),I30-G30,"")</f>
        <v>24</v>
      </c>
    </row>
    <row r="31" customFormat="false" ht="15" hidden="false" customHeight="false" outlineLevel="0" collapsed="false">
      <c r="A31" s="29" t="s">
        <v>170</v>
      </c>
      <c r="B31" s="29" t="s">
        <v>171</v>
      </c>
      <c r="C31" s="29" t="s">
        <v>119</v>
      </c>
      <c r="D31" s="29" t="s">
        <v>120</v>
      </c>
      <c r="E31" s="29" t="n">
        <v>1</v>
      </c>
      <c r="F31" s="29" t="s">
        <v>65</v>
      </c>
      <c r="G31" s="30" t="n">
        <v>46102</v>
      </c>
      <c r="H31" s="30" t="n">
        <v>46127</v>
      </c>
      <c r="I31" s="30" t="n">
        <v>46133</v>
      </c>
      <c r="J31" s="31" t="n">
        <f aca="false">IF(AND(ISNUMBER(H31),ISNUMBER(I31)),I31-H31,"")</f>
        <v>6</v>
      </c>
      <c r="K31" s="31" t="n">
        <f aca="false">IF(AND(ISNUMBER(G31),ISNUMBER(I31)),I31-G31,"")</f>
        <v>31</v>
      </c>
    </row>
    <row r="32" customFormat="false" ht="15" hidden="false" customHeight="false" outlineLevel="0" collapsed="false">
      <c r="A32" s="29" t="s">
        <v>172</v>
      </c>
      <c r="B32" s="29" t="s">
        <v>173</v>
      </c>
      <c r="C32" s="29" t="s">
        <v>123</v>
      </c>
      <c r="D32" s="29" t="s">
        <v>120</v>
      </c>
      <c r="E32" s="29" t="n">
        <v>2</v>
      </c>
      <c r="F32" s="29" t="s">
        <v>64</v>
      </c>
      <c r="G32" s="30" t="n">
        <v>46106</v>
      </c>
      <c r="H32" s="30" t="n">
        <v>46119</v>
      </c>
      <c r="I32" s="30" t="n">
        <v>46127</v>
      </c>
      <c r="J32" s="31" t="n">
        <f aca="false">IF(AND(ISNUMBER(H32),ISNUMBER(I32)),I32-H32,"")</f>
        <v>8</v>
      </c>
      <c r="K32" s="31" t="n">
        <f aca="false">IF(AND(ISNUMBER(G32),ISNUMBER(I32)),I32-G32,"")</f>
        <v>21</v>
      </c>
    </row>
    <row r="33" customFormat="false" ht="15" hidden="false" customHeight="false" outlineLevel="0" collapsed="false">
      <c r="A33" s="29" t="s">
        <v>174</v>
      </c>
      <c r="B33" s="29" t="s">
        <v>125</v>
      </c>
      <c r="C33" s="29" t="s">
        <v>123</v>
      </c>
      <c r="D33" s="29" t="s">
        <v>120</v>
      </c>
      <c r="E33" s="29" t="n">
        <v>2</v>
      </c>
      <c r="F33" s="29" t="s">
        <v>65</v>
      </c>
      <c r="G33" s="30" t="n">
        <v>46107</v>
      </c>
      <c r="H33" s="30" t="n">
        <v>46126</v>
      </c>
      <c r="I33" s="30" t="n">
        <v>46128</v>
      </c>
      <c r="J33" s="31" t="n">
        <f aca="false">IF(AND(ISNUMBER(H33),ISNUMBER(I33)),I33-H33,"")</f>
        <v>2</v>
      </c>
      <c r="K33" s="31" t="n">
        <f aca="false">IF(AND(ISNUMBER(G33),ISNUMBER(I33)),I33-G33,"")</f>
        <v>21</v>
      </c>
    </row>
    <row r="34" customFormat="false" ht="15" hidden="false" customHeight="false" outlineLevel="0" collapsed="false">
      <c r="A34" s="29" t="s">
        <v>175</v>
      </c>
      <c r="B34" s="29" t="s">
        <v>127</v>
      </c>
      <c r="C34" s="29" t="s">
        <v>123</v>
      </c>
      <c r="D34" s="29" t="s">
        <v>120</v>
      </c>
      <c r="E34" s="29" t="n">
        <v>2</v>
      </c>
      <c r="F34" s="29" t="s">
        <v>65</v>
      </c>
      <c r="G34" s="30" t="n">
        <v>46108</v>
      </c>
      <c r="H34" s="30" t="n">
        <v>46132</v>
      </c>
      <c r="I34" s="30" t="n">
        <v>46134</v>
      </c>
      <c r="J34" s="31" t="n">
        <f aca="false">IF(AND(ISNUMBER(H34),ISNUMBER(I34)),I34-H34,"")</f>
        <v>2</v>
      </c>
      <c r="K34" s="31" t="n">
        <f aca="false">IF(AND(ISNUMBER(G34),ISNUMBER(I34)),I34-G34,"")</f>
        <v>26</v>
      </c>
    </row>
    <row r="35" customFormat="false" ht="15" hidden="false" customHeight="false" outlineLevel="0" collapsed="false">
      <c r="A35" s="29" t="s">
        <v>176</v>
      </c>
      <c r="B35" s="29" t="s">
        <v>177</v>
      </c>
      <c r="C35" s="29" t="s">
        <v>119</v>
      </c>
      <c r="D35" s="29" t="s">
        <v>120</v>
      </c>
      <c r="E35" s="29" t="n">
        <v>5</v>
      </c>
      <c r="F35" s="29" t="s">
        <v>65</v>
      </c>
      <c r="G35" s="30" t="n">
        <v>46109</v>
      </c>
      <c r="H35" s="30" t="n">
        <v>46127</v>
      </c>
      <c r="I35" s="30" t="n">
        <v>46134</v>
      </c>
      <c r="J35" s="31" t="n">
        <f aca="false">IF(AND(ISNUMBER(H35),ISNUMBER(I35)),I35-H35,"")</f>
        <v>7</v>
      </c>
      <c r="K35" s="31" t="n">
        <f aca="false">IF(AND(ISNUMBER(G35),ISNUMBER(I35)),I35-G35,"")</f>
        <v>25</v>
      </c>
    </row>
    <row r="36" customFormat="false" ht="15" hidden="false" customHeight="false" outlineLevel="0" collapsed="false">
      <c r="A36" s="29" t="s">
        <v>178</v>
      </c>
      <c r="B36" s="29" t="s">
        <v>179</v>
      </c>
      <c r="C36" s="29" t="s">
        <v>119</v>
      </c>
      <c r="D36" s="29" t="s">
        <v>120</v>
      </c>
      <c r="E36" s="29" t="n">
        <v>1</v>
      </c>
      <c r="F36" s="29" t="s">
        <v>65</v>
      </c>
      <c r="G36" s="30" t="n">
        <v>46114</v>
      </c>
      <c r="H36" s="30" t="n">
        <v>46132</v>
      </c>
      <c r="I36" s="30" t="n">
        <v>46139</v>
      </c>
      <c r="J36" s="31" t="n">
        <f aca="false">IF(AND(ISNUMBER(H36),ISNUMBER(I36)),I36-H36,"")</f>
        <v>7</v>
      </c>
      <c r="K36" s="31" t="n">
        <f aca="false">IF(AND(ISNUMBER(G36),ISNUMBER(I36)),I36-G36,"")</f>
        <v>25</v>
      </c>
    </row>
    <row r="37" customFormat="false" ht="15" hidden="false" customHeight="false" outlineLevel="0" collapsed="false">
      <c r="A37" s="29" t="s">
        <v>180</v>
      </c>
      <c r="B37" s="29" t="s">
        <v>152</v>
      </c>
      <c r="C37" s="29" t="s">
        <v>136</v>
      </c>
      <c r="D37" s="29" t="s">
        <v>120</v>
      </c>
      <c r="E37" s="29" t="n">
        <v>1</v>
      </c>
      <c r="F37" s="29" t="s">
        <v>65</v>
      </c>
      <c r="G37" s="30" t="n">
        <v>46114</v>
      </c>
      <c r="H37" s="30" t="n">
        <v>46132</v>
      </c>
      <c r="I37" s="30" t="n">
        <v>46136</v>
      </c>
      <c r="J37" s="31" t="n">
        <f aca="false">IF(AND(ISNUMBER(H37),ISNUMBER(I37)),I37-H37,"")</f>
        <v>4</v>
      </c>
      <c r="K37" s="31" t="n">
        <f aca="false">IF(AND(ISNUMBER(G37),ISNUMBER(I37)),I37-G37,"")</f>
        <v>22</v>
      </c>
    </row>
    <row r="38" customFormat="false" ht="15" hidden="false" customHeight="false" outlineLevel="0" collapsed="false">
      <c r="A38" s="29" t="s">
        <v>181</v>
      </c>
      <c r="B38" s="29" t="s">
        <v>127</v>
      </c>
      <c r="C38" s="29" t="s">
        <v>123</v>
      </c>
      <c r="D38" s="29" t="s">
        <v>120</v>
      </c>
      <c r="E38" s="29" t="n">
        <v>2</v>
      </c>
      <c r="F38" s="29" t="s">
        <v>65</v>
      </c>
      <c r="G38" s="30" t="n">
        <v>46114</v>
      </c>
      <c r="H38" s="30" t="n">
        <v>46125</v>
      </c>
      <c r="I38" s="30" t="n">
        <v>46134</v>
      </c>
      <c r="J38" s="31" t="n">
        <f aca="false">IF(AND(ISNUMBER(H38),ISNUMBER(I38)),I38-H38,"")</f>
        <v>9</v>
      </c>
      <c r="K38" s="31" t="n">
        <f aca="false">IF(AND(ISNUMBER(G38),ISNUMBER(I38)),I38-G38,"")</f>
        <v>20</v>
      </c>
    </row>
    <row r="39" customFormat="false" ht="15" hidden="false" customHeight="false" outlineLevel="0" collapsed="false">
      <c r="A39" s="29" t="s">
        <v>182</v>
      </c>
      <c r="B39" s="29" t="s">
        <v>183</v>
      </c>
      <c r="C39" s="29" t="s">
        <v>119</v>
      </c>
      <c r="D39" s="29" t="s">
        <v>120</v>
      </c>
      <c r="E39" s="29" t="n">
        <v>2</v>
      </c>
      <c r="F39" s="29" t="s">
        <v>65</v>
      </c>
      <c r="G39" s="30" t="n">
        <v>46117</v>
      </c>
      <c r="H39" s="30" t="n">
        <v>46126</v>
      </c>
      <c r="I39" s="30" t="n">
        <v>46129</v>
      </c>
      <c r="J39" s="31" t="n">
        <f aca="false">IF(AND(ISNUMBER(H39),ISNUMBER(I39)),I39-H39,"")</f>
        <v>3</v>
      </c>
      <c r="K39" s="31" t="n">
        <f aca="false">IF(AND(ISNUMBER(G39),ISNUMBER(I39)),I39-G39,"")</f>
        <v>12</v>
      </c>
    </row>
    <row r="40" customFormat="false" ht="15" hidden="false" customHeight="false" outlineLevel="0" collapsed="false">
      <c r="A40" s="29" t="s">
        <v>184</v>
      </c>
      <c r="B40" s="29" t="s">
        <v>185</v>
      </c>
      <c r="C40" s="29" t="s">
        <v>119</v>
      </c>
      <c r="D40" s="29" t="s">
        <v>120</v>
      </c>
      <c r="E40" s="29" t="n">
        <v>3</v>
      </c>
      <c r="F40" s="29" t="s">
        <v>66</v>
      </c>
      <c r="G40" s="30" t="n">
        <v>46117</v>
      </c>
      <c r="H40" s="30" t="n">
        <v>46140</v>
      </c>
      <c r="I40" s="30" t="n">
        <v>46142</v>
      </c>
      <c r="J40" s="31" t="n">
        <f aca="false">IF(AND(ISNUMBER(H40),ISNUMBER(I40)),I40-H40,"")</f>
        <v>2</v>
      </c>
      <c r="K40" s="31" t="n">
        <f aca="false">IF(AND(ISNUMBER(G40),ISNUMBER(I40)),I40-G40,"")</f>
        <v>25</v>
      </c>
    </row>
    <row r="41" customFormat="false" ht="15" hidden="false" customHeight="false" outlineLevel="0" collapsed="false">
      <c r="A41" s="29" t="s">
        <v>186</v>
      </c>
      <c r="B41" s="29" t="s">
        <v>173</v>
      </c>
      <c r="C41" s="29" t="s">
        <v>123</v>
      </c>
      <c r="D41" s="29" t="s">
        <v>120</v>
      </c>
      <c r="E41" s="29" t="n">
        <v>1</v>
      </c>
      <c r="F41" s="29" t="s">
        <v>65</v>
      </c>
      <c r="G41" s="30" t="n">
        <v>46119</v>
      </c>
      <c r="H41" s="30" t="n">
        <v>46128</v>
      </c>
      <c r="I41" s="30" t="n">
        <v>46132</v>
      </c>
      <c r="J41" s="31" t="n">
        <f aca="false">IF(AND(ISNUMBER(H41),ISNUMBER(I41)),I41-H41,"")</f>
        <v>4</v>
      </c>
      <c r="K41" s="31" t="n">
        <f aca="false">IF(AND(ISNUMBER(G41),ISNUMBER(I41)),I41-G41,"")</f>
        <v>13</v>
      </c>
    </row>
    <row r="42" customFormat="false" ht="15" hidden="false" customHeight="false" outlineLevel="0" collapsed="false">
      <c r="A42" s="29" t="s">
        <v>187</v>
      </c>
      <c r="B42" s="29" t="s">
        <v>188</v>
      </c>
      <c r="C42" s="29" t="s">
        <v>119</v>
      </c>
      <c r="D42" s="29" t="s">
        <v>120</v>
      </c>
      <c r="E42" s="29" t="n">
        <v>8</v>
      </c>
      <c r="F42" s="29" t="s">
        <v>66</v>
      </c>
      <c r="G42" s="30" t="n">
        <v>46122</v>
      </c>
      <c r="H42" s="30" t="n">
        <v>46143</v>
      </c>
      <c r="I42" s="30" t="n">
        <v>46147</v>
      </c>
      <c r="J42" s="31" t="n">
        <f aca="false">IF(AND(ISNUMBER(H42),ISNUMBER(I42)),I42-H42,"")</f>
        <v>4</v>
      </c>
      <c r="K42" s="31" t="n">
        <f aca="false">IF(AND(ISNUMBER(G42),ISNUMBER(I42)),I42-G42,"")</f>
        <v>25</v>
      </c>
    </row>
    <row r="43" customFormat="false" ht="15" hidden="false" customHeight="false" outlineLevel="0" collapsed="false">
      <c r="A43" s="29" t="s">
        <v>189</v>
      </c>
      <c r="B43" s="29" t="s">
        <v>190</v>
      </c>
      <c r="C43" s="29" t="s">
        <v>119</v>
      </c>
      <c r="D43" s="29" t="s">
        <v>120</v>
      </c>
      <c r="E43" s="29" t="n">
        <v>3</v>
      </c>
      <c r="F43" s="29" t="s">
        <v>66</v>
      </c>
      <c r="G43" s="30" t="n">
        <v>46125</v>
      </c>
      <c r="H43" s="30" t="n">
        <v>46141</v>
      </c>
      <c r="I43" s="30" t="n">
        <v>46155</v>
      </c>
      <c r="J43" s="31" t="n">
        <f aca="false">IF(AND(ISNUMBER(H43),ISNUMBER(I43)),I43-H43,"")</f>
        <v>14</v>
      </c>
      <c r="K43" s="31" t="n">
        <f aca="false">IF(AND(ISNUMBER(G43),ISNUMBER(I43)),I43-G43,"")</f>
        <v>30</v>
      </c>
    </row>
    <row r="44" customFormat="false" ht="15" hidden="false" customHeight="false" outlineLevel="0" collapsed="false">
      <c r="A44" s="29" t="s">
        <v>191</v>
      </c>
      <c r="B44" s="29" t="s">
        <v>192</v>
      </c>
      <c r="C44" s="29" t="s">
        <v>119</v>
      </c>
      <c r="D44" s="29" t="s">
        <v>120</v>
      </c>
      <c r="E44" s="29" t="n">
        <v>5</v>
      </c>
      <c r="F44" s="29" t="s">
        <v>66</v>
      </c>
      <c r="G44" s="30" t="n">
        <v>46126</v>
      </c>
      <c r="H44" s="30" t="n">
        <v>46143</v>
      </c>
      <c r="I44" s="30" t="n">
        <v>46146</v>
      </c>
      <c r="J44" s="31" t="n">
        <f aca="false">IF(AND(ISNUMBER(H44),ISNUMBER(I44)),I44-H44,"")</f>
        <v>3</v>
      </c>
      <c r="K44" s="31" t="n">
        <f aca="false">IF(AND(ISNUMBER(G44),ISNUMBER(I44)),I44-G44,"")</f>
        <v>20</v>
      </c>
    </row>
    <row r="45" customFormat="false" ht="15" hidden="false" customHeight="false" outlineLevel="0" collapsed="false">
      <c r="A45" s="29" t="s">
        <v>193</v>
      </c>
      <c r="B45" s="29" t="s">
        <v>194</v>
      </c>
      <c r="C45" s="29" t="s">
        <v>136</v>
      </c>
      <c r="D45" s="29" t="s">
        <v>120</v>
      </c>
      <c r="E45" s="29" t="n">
        <v>3</v>
      </c>
      <c r="F45" s="29" t="s">
        <v>66</v>
      </c>
      <c r="G45" s="30" t="n">
        <v>46128</v>
      </c>
      <c r="H45" s="30" t="n">
        <v>46142</v>
      </c>
      <c r="I45" s="30" t="n">
        <v>46149</v>
      </c>
      <c r="J45" s="31" t="n">
        <f aca="false">IF(AND(ISNUMBER(H45),ISNUMBER(I45)),I45-H45,"")</f>
        <v>7</v>
      </c>
      <c r="K45" s="31" t="n">
        <f aca="false">IF(AND(ISNUMBER(G45),ISNUMBER(I45)),I45-G45,"")</f>
        <v>21</v>
      </c>
    </row>
    <row r="46" customFormat="false" ht="15" hidden="false" customHeight="false" outlineLevel="0" collapsed="false">
      <c r="A46" s="29" t="s">
        <v>195</v>
      </c>
      <c r="B46" s="29" t="s">
        <v>196</v>
      </c>
      <c r="C46" s="29" t="s">
        <v>119</v>
      </c>
      <c r="D46" s="29" t="s">
        <v>120</v>
      </c>
      <c r="E46" s="29" t="n">
        <v>2</v>
      </c>
      <c r="F46" s="29" t="s">
        <v>67</v>
      </c>
      <c r="G46" s="30" t="n">
        <v>46128</v>
      </c>
      <c r="H46" s="30" t="n">
        <v>46161</v>
      </c>
      <c r="I46" s="30" t="n">
        <v>46164</v>
      </c>
      <c r="J46" s="31" t="n">
        <f aca="false">IF(AND(ISNUMBER(H46),ISNUMBER(I46)),I46-H46,"")</f>
        <v>3</v>
      </c>
      <c r="K46" s="31" t="n">
        <f aca="false">IF(AND(ISNUMBER(G46),ISNUMBER(I46)),I46-G46,"")</f>
        <v>36</v>
      </c>
    </row>
    <row r="47" customFormat="false" ht="15" hidden="false" customHeight="false" outlineLevel="0" collapsed="false">
      <c r="A47" s="29" t="s">
        <v>197</v>
      </c>
      <c r="B47" s="29" t="s">
        <v>198</v>
      </c>
      <c r="C47" s="29" t="s">
        <v>136</v>
      </c>
      <c r="D47" s="29" t="s">
        <v>120</v>
      </c>
      <c r="E47" s="29" t="n">
        <v>1</v>
      </c>
      <c r="F47" s="29" t="s">
        <v>66</v>
      </c>
      <c r="G47" s="30" t="n">
        <v>46130</v>
      </c>
      <c r="H47" s="30" t="n">
        <v>46140</v>
      </c>
      <c r="I47" s="30" t="n">
        <v>46146</v>
      </c>
      <c r="J47" s="31" t="n">
        <f aca="false">IF(AND(ISNUMBER(H47),ISNUMBER(I47)),I47-H47,"")</f>
        <v>6</v>
      </c>
      <c r="K47" s="31" t="n">
        <f aca="false">IF(AND(ISNUMBER(G47),ISNUMBER(I47)),I47-G47,"")</f>
        <v>16</v>
      </c>
    </row>
    <row r="48" customFormat="false" ht="15" hidden="false" customHeight="false" outlineLevel="0" collapsed="false">
      <c r="A48" s="29" t="s">
        <v>199</v>
      </c>
      <c r="B48" s="29" t="s">
        <v>200</v>
      </c>
      <c r="C48" s="29" t="s">
        <v>119</v>
      </c>
      <c r="D48" s="29" t="s">
        <v>120</v>
      </c>
      <c r="E48" s="29" t="n">
        <v>8</v>
      </c>
      <c r="F48" s="29" t="s">
        <v>67</v>
      </c>
      <c r="G48" s="30" t="n">
        <v>46131</v>
      </c>
      <c r="H48" s="30" t="n">
        <v>46161</v>
      </c>
      <c r="I48" s="30" t="n">
        <v>46170</v>
      </c>
      <c r="J48" s="31" t="n">
        <f aca="false">IF(AND(ISNUMBER(H48),ISNUMBER(I48)),I48-H48,"")</f>
        <v>9</v>
      </c>
      <c r="K48" s="31" t="n">
        <f aca="false">IF(AND(ISNUMBER(G48),ISNUMBER(I48)),I48-G48,"")</f>
        <v>39</v>
      </c>
    </row>
    <row r="49" customFormat="false" ht="15" hidden="false" customHeight="false" outlineLevel="0" collapsed="false">
      <c r="A49" s="29" t="s">
        <v>201</v>
      </c>
      <c r="B49" s="29" t="s">
        <v>202</v>
      </c>
      <c r="C49" s="29" t="s">
        <v>136</v>
      </c>
      <c r="D49" s="29" t="s">
        <v>120</v>
      </c>
      <c r="E49" s="29" t="n">
        <v>2</v>
      </c>
      <c r="F49" s="29" t="s">
        <v>67</v>
      </c>
      <c r="G49" s="30" t="n">
        <v>46136</v>
      </c>
      <c r="H49" s="30" t="n">
        <v>46160</v>
      </c>
      <c r="I49" s="30" t="n">
        <v>46175</v>
      </c>
      <c r="J49" s="31" t="n">
        <f aca="false">IF(AND(ISNUMBER(H49),ISNUMBER(I49)),I49-H49,"")</f>
        <v>15</v>
      </c>
      <c r="K49" s="31" t="n">
        <f aca="false">IF(AND(ISNUMBER(G49),ISNUMBER(I49)),I49-G49,"")</f>
        <v>39</v>
      </c>
    </row>
    <row r="50" customFormat="false" ht="15" hidden="false" customHeight="false" outlineLevel="0" collapsed="false">
      <c r="A50" s="29" t="s">
        <v>203</v>
      </c>
      <c r="B50" s="29" t="s">
        <v>204</v>
      </c>
      <c r="C50" s="29" t="s">
        <v>119</v>
      </c>
      <c r="D50" s="29" t="s">
        <v>120</v>
      </c>
      <c r="E50" s="29" t="n">
        <v>1</v>
      </c>
      <c r="F50" s="29" t="s">
        <v>67</v>
      </c>
      <c r="G50" s="30" t="n">
        <v>46136</v>
      </c>
      <c r="H50" s="30" t="n">
        <v>46155</v>
      </c>
      <c r="I50" s="30" t="n">
        <v>46160</v>
      </c>
      <c r="J50" s="31" t="n">
        <f aca="false">IF(AND(ISNUMBER(H50),ISNUMBER(I50)),I50-H50,"")</f>
        <v>5</v>
      </c>
      <c r="K50" s="31" t="n">
        <f aca="false">IF(AND(ISNUMBER(G50),ISNUMBER(I50)),I50-G50,"")</f>
        <v>24</v>
      </c>
    </row>
    <row r="51" customFormat="false" ht="15" hidden="false" customHeight="false" outlineLevel="0" collapsed="false">
      <c r="A51" s="29" t="s">
        <v>205</v>
      </c>
      <c r="B51" s="29" t="s">
        <v>135</v>
      </c>
      <c r="C51" s="29" t="s">
        <v>136</v>
      </c>
      <c r="D51" s="29" t="s">
        <v>120</v>
      </c>
      <c r="E51" s="29" t="n">
        <v>2</v>
      </c>
      <c r="F51" s="29" t="s">
        <v>66</v>
      </c>
      <c r="G51" s="30" t="n">
        <v>46137</v>
      </c>
      <c r="H51" s="30" t="n">
        <v>46141</v>
      </c>
      <c r="I51" s="30" t="n">
        <v>46148</v>
      </c>
      <c r="J51" s="31" t="n">
        <f aca="false">IF(AND(ISNUMBER(H51),ISNUMBER(I51)),I51-H51,"")</f>
        <v>7</v>
      </c>
      <c r="K51" s="31" t="n">
        <f aca="false">IF(AND(ISNUMBER(G51),ISNUMBER(I51)),I51-G51,"")</f>
        <v>11</v>
      </c>
    </row>
    <row r="52" customFormat="false" ht="15" hidden="false" customHeight="false" outlineLevel="0" collapsed="false">
      <c r="A52" s="29" t="s">
        <v>206</v>
      </c>
      <c r="B52" s="29" t="s">
        <v>173</v>
      </c>
      <c r="C52" s="29" t="s">
        <v>123</v>
      </c>
      <c r="D52" s="29" t="s">
        <v>120</v>
      </c>
      <c r="E52" s="29" t="n">
        <v>2</v>
      </c>
      <c r="F52" s="29" t="s">
        <v>66</v>
      </c>
      <c r="G52" s="30" t="n">
        <v>46137</v>
      </c>
      <c r="H52" s="30" t="n">
        <v>46143</v>
      </c>
      <c r="I52" s="30" t="n">
        <v>46147</v>
      </c>
      <c r="J52" s="31" t="n">
        <f aca="false">IF(AND(ISNUMBER(H52),ISNUMBER(I52)),I52-H52,"")</f>
        <v>4</v>
      </c>
      <c r="K52" s="31" t="n">
        <f aca="false">IF(AND(ISNUMBER(G52),ISNUMBER(I52)),I52-G52,"")</f>
        <v>10</v>
      </c>
    </row>
    <row r="53" customFormat="false" ht="15" hidden="false" customHeight="false" outlineLevel="0" collapsed="false">
      <c r="A53" s="29" t="s">
        <v>207</v>
      </c>
      <c r="B53" s="29" t="s">
        <v>173</v>
      </c>
      <c r="C53" s="29" t="s">
        <v>123</v>
      </c>
      <c r="D53" s="29" t="s">
        <v>120</v>
      </c>
      <c r="E53" s="29" t="n">
        <v>2</v>
      </c>
      <c r="F53" s="29" t="s">
        <v>67</v>
      </c>
      <c r="G53" s="30" t="n">
        <v>46138</v>
      </c>
      <c r="H53" s="30" t="n">
        <v>46157</v>
      </c>
      <c r="I53" s="30" t="n">
        <v>46161</v>
      </c>
      <c r="J53" s="31" t="n">
        <f aca="false">IF(AND(ISNUMBER(H53),ISNUMBER(I53)),I53-H53,"")</f>
        <v>4</v>
      </c>
      <c r="K53" s="31" t="n">
        <f aca="false">IF(AND(ISNUMBER(G53),ISNUMBER(I53)),I53-G53,"")</f>
        <v>23</v>
      </c>
    </row>
    <row r="54" customFormat="false" ht="15" hidden="false" customHeight="false" outlineLevel="0" collapsed="false">
      <c r="A54" s="29" t="s">
        <v>208</v>
      </c>
      <c r="B54" s="29" t="s">
        <v>209</v>
      </c>
      <c r="C54" s="29" t="s">
        <v>136</v>
      </c>
      <c r="D54" s="29" t="s">
        <v>120</v>
      </c>
      <c r="E54" s="29" t="n">
        <v>3</v>
      </c>
      <c r="F54" s="29" t="s">
        <v>68</v>
      </c>
      <c r="G54" s="30" t="n">
        <v>46145</v>
      </c>
      <c r="H54" s="30" t="n">
        <v>46174</v>
      </c>
      <c r="I54" s="30" t="n">
        <v>46188</v>
      </c>
      <c r="J54" s="31" t="n">
        <f aca="false">IF(AND(ISNUMBER(H54),ISNUMBER(I54)),I54-H54,"")</f>
        <v>14</v>
      </c>
      <c r="K54" s="31" t="n">
        <f aca="false">IF(AND(ISNUMBER(G54),ISNUMBER(I54)),I54-G54,"")</f>
        <v>43</v>
      </c>
    </row>
    <row r="55" customFormat="false" ht="15" hidden="false" customHeight="false" outlineLevel="0" collapsed="false">
      <c r="A55" s="29" t="s">
        <v>210</v>
      </c>
      <c r="B55" s="29" t="s">
        <v>211</v>
      </c>
      <c r="C55" s="29" t="s">
        <v>119</v>
      </c>
      <c r="D55" s="29" t="s">
        <v>120</v>
      </c>
      <c r="E55" s="29" t="n">
        <v>8</v>
      </c>
      <c r="F55" s="29" t="s">
        <v>67</v>
      </c>
      <c r="G55" s="30" t="n">
        <v>46146</v>
      </c>
      <c r="H55" s="30" t="n">
        <v>46157</v>
      </c>
      <c r="I55" s="30" t="n">
        <v>46163</v>
      </c>
      <c r="J55" s="31" t="n">
        <f aca="false">IF(AND(ISNUMBER(H55),ISNUMBER(I55)),I55-H55,"")</f>
        <v>6</v>
      </c>
      <c r="K55" s="31" t="n">
        <f aca="false">IF(AND(ISNUMBER(G55),ISNUMBER(I55)),I55-G55,"")</f>
        <v>17</v>
      </c>
    </row>
    <row r="56" customFormat="false" ht="15" hidden="false" customHeight="false" outlineLevel="0" collapsed="false">
      <c r="A56" s="29" t="s">
        <v>212</v>
      </c>
      <c r="B56" s="29" t="s">
        <v>213</v>
      </c>
      <c r="C56" s="29" t="s">
        <v>123</v>
      </c>
      <c r="D56" s="29" t="s">
        <v>120</v>
      </c>
      <c r="E56" s="29" t="n">
        <v>2</v>
      </c>
      <c r="F56" s="29" t="s">
        <v>68</v>
      </c>
      <c r="G56" s="30" t="n">
        <v>46147</v>
      </c>
      <c r="H56" s="30" t="n">
        <v>46167</v>
      </c>
      <c r="I56" s="30" t="n">
        <v>46170</v>
      </c>
      <c r="J56" s="31" t="n">
        <f aca="false">IF(AND(ISNUMBER(H56),ISNUMBER(I56)),I56-H56,"")</f>
        <v>3</v>
      </c>
      <c r="K56" s="31" t="n">
        <f aca="false">IF(AND(ISNUMBER(G56),ISNUMBER(I56)),I56-G56,"")</f>
        <v>23</v>
      </c>
    </row>
    <row r="57" customFormat="false" ht="15" hidden="false" customHeight="false" outlineLevel="0" collapsed="false">
      <c r="A57" s="29" t="s">
        <v>214</v>
      </c>
      <c r="B57" s="29" t="s">
        <v>122</v>
      </c>
      <c r="C57" s="29" t="s">
        <v>123</v>
      </c>
      <c r="D57" s="29" t="s">
        <v>120</v>
      </c>
      <c r="E57" s="29" t="n">
        <v>1</v>
      </c>
      <c r="F57" s="29" t="s">
        <v>68</v>
      </c>
      <c r="G57" s="30" t="n">
        <v>46147</v>
      </c>
      <c r="H57" s="30" t="n">
        <v>46171</v>
      </c>
      <c r="I57" s="30" t="n">
        <v>46174</v>
      </c>
      <c r="J57" s="31" t="n">
        <f aca="false">IF(AND(ISNUMBER(H57),ISNUMBER(I57)),I57-H57,"")</f>
        <v>3</v>
      </c>
      <c r="K57" s="31" t="n">
        <f aca="false">IF(AND(ISNUMBER(G57),ISNUMBER(I57)),I57-G57,"")</f>
        <v>27</v>
      </c>
    </row>
    <row r="58" customFormat="false" ht="15" hidden="false" customHeight="false" outlineLevel="0" collapsed="false">
      <c r="A58" s="29" t="s">
        <v>215</v>
      </c>
      <c r="B58" s="29" t="s">
        <v>127</v>
      </c>
      <c r="C58" s="29" t="s">
        <v>123</v>
      </c>
      <c r="D58" s="29" t="s">
        <v>120</v>
      </c>
      <c r="E58" s="29" t="n">
        <v>3</v>
      </c>
      <c r="F58" s="29" t="s">
        <v>67</v>
      </c>
      <c r="G58" s="30" t="n">
        <v>46148</v>
      </c>
      <c r="H58" s="30" t="n">
        <v>46160</v>
      </c>
      <c r="I58" s="30" t="n">
        <v>46167</v>
      </c>
      <c r="J58" s="31" t="n">
        <f aca="false">IF(AND(ISNUMBER(H58),ISNUMBER(I58)),I58-H58,"")</f>
        <v>7</v>
      </c>
      <c r="K58" s="31" t="n">
        <f aca="false">IF(AND(ISNUMBER(G58),ISNUMBER(I58)),I58-G58,"")</f>
        <v>19</v>
      </c>
    </row>
    <row r="59" customFormat="false" ht="15" hidden="false" customHeight="false" outlineLevel="0" collapsed="false">
      <c r="A59" s="29" t="s">
        <v>216</v>
      </c>
      <c r="B59" s="29" t="s">
        <v>192</v>
      </c>
      <c r="C59" s="29" t="s">
        <v>119</v>
      </c>
      <c r="D59" s="29" t="s">
        <v>120</v>
      </c>
      <c r="E59" s="29" t="n">
        <v>1</v>
      </c>
      <c r="F59" s="29" t="s">
        <v>67</v>
      </c>
      <c r="G59" s="30" t="n">
        <v>46150</v>
      </c>
      <c r="H59" s="30" t="n">
        <v>46156</v>
      </c>
      <c r="I59" s="30" t="n">
        <v>46160</v>
      </c>
      <c r="J59" s="31" t="n">
        <f aca="false">IF(AND(ISNUMBER(H59),ISNUMBER(I59)),I59-H59,"")</f>
        <v>4</v>
      </c>
      <c r="K59" s="31" t="n">
        <f aca="false">IF(AND(ISNUMBER(G59),ISNUMBER(I59)),I59-G59,"")</f>
        <v>10</v>
      </c>
    </row>
    <row r="60" customFormat="false" ht="15" hidden="false" customHeight="false" outlineLevel="0" collapsed="false">
      <c r="A60" s="29" t="s">
        <v>217</v>
      </c>
      <c r="B60" s="29" t="s">
        <v>127</v>
      </c>
      <c r="C60" s="29" t="s">
        <v>123</v>
      </c>
      <c r="D60" s="29" t="s">
        <v>120</v>
      </c>
      <c r="E60" s="29" t="n">
        <v>3</v>
      </c>
      <c r="F60" s="29" t="s">
        <v>67</v>
      </c>
      <c r="G60" s="30" t="n">
        <v>46150</v>
      </c>
      <c r="H60" s="30" t="n">
        <v>46156</v>
      </c>
      <c r="I60" s="30" t="n">
        <v>46164</v>
      </c>
      <c r="J60" s="31" t="n">
        <f aca="false">IF(AND(ISNUMBER(H60),ISNUMBER(I60)),I60-H60,"")</f>
        <v>8</v>
      </c>
      <c r="K60" s="31" t="n">
        <f aca="false">IF(AND(ISNUMBER(G60),ISNUMBER(I60)),I60-G60,"")</f>
        <v>14</v>
      </c>
    </row>
    <row r="61" customFormat="false" ht="15" hidden="false" customHeight="false" outlineLevel="0" collapsed="false">
      <c r="A61" s="29" t="s">
        <v>218</v>
      </c>
      <c r="B61" s="29" t="s">
        <v>219</v>
      </c>
      <c r="C61" s="29" t="s">
        <v>119</v>
      </c>
      <c r="D61" s="29" t="s">
        <v>120</v>
      </c>
      <c r="E61" s="29" t="n">
        <v>2</v>
      </c>
      <c r="F61" s="29" t="s">
        <v>69</v>
      </c>
      <c r="G61" s="30" t="n">
        <v>46156</v>
      </c>
      <c r="H61" s="30" t="n">
        <v>46188</v>
      </c>
      <c r="I61" s="30" t="n">
        <v>46191</v>
      </c>
      <c r="J61" s="31" t="n">
        <f aca="false">IF(AND(ISNUMBER(H61),ISNUMBER(I61)),I61-H61,"")</f>
        <v>3</v>
      </c>
      <c r="K61" s="31" t="n">
        <f aca="false">IF(AND(ISNUMBER(G61),ISNUMBER(I61)),I61-G61,"")</f>
        <v>35</v>
      </c>
    </row>
    <row r="62" customFormat="false" ht="15" hidden="false" customHeight="false" outlineLevel="0" collapsed="false">
      <c r="A62" s="29" t="s">
        <v>220</v>
      </c>
      <c r="B62" s="29" t="s">
        <v>198</v>
      </c>
      <c r="C62" s="29" t="s">
        <v>136</v>
      </c>
      <c r="D62" s="29" t="s">
        <v>120</v>
      </c>
      <c r="E62" s="29" t="n">
        <v>2</v>
      </c>
      <c r="F62" s="29" t="s">
        <v>69</v>
      </c>
      <c r="G62" s="30" t="n">
        <v>46156</v>
      </c>
      <c r="H62" s="30" t="n">
        <v>46184</v>
      </c>
      <c r="I62" s="30" t="n">
        <v>46188</v>
      </c>
      <c r="J62" s="31" t="n">
        <f aca="false">IF(AND(ISNUMBER(H62),ISNUMBER(I62)),I62-H62,"")</f>
        <v>4</v>
      </c>
      <c r="K62" s="31" t="n">
        <f aca="false">IF(AND(ISNUMBER(G62),ISNUMBER(I62)),I62-G62,"")</f>
        <v>32</v>
      </c>
    </row>
    <row r="63" customFormat="false" ht="15" hidden="false" customHeight="false" outlineLevel="0" collapsed="false">
      <c r="A63" s="29" t="s">
        <v>221</v>
      </c>
      <c r="B63" s="29" t="s">
        <v>125</v>
      </c>
      <c r="C63" s="29" t="s">
        <v>123</v>
      </c>
      <c r="D63" s="29" t="s">
        <v>120</v>
      </c>
      <c r="E63" s="29" t="n">
        <v>2</v>
      </c>
      <c r="F63" s="29" t="s">
        <v>68</v>
      </c>
      <c r="G63" s="30" t="n">
        <v>46157</v>
      </c>
      <c r="H63" s="30" t="n">
        <v>46174</v>
      </c>
      <c r="I63" s="30" t="n">
        <v>46181</v>
      </c>
      <c r="J63" s="31" t="n">
        <f aca="false">IF(AND(ISNUMBER(H63),ISNUMBER(I63)),I63-H63,"")</f>
        <v>7</v>
      </c>
      <c r="K63" s="31" t="n">
        <f aca="false">IF(AND(ISNUMBER(G63),ISNUMBER(I63)),I63-G63,"")</f>
        <v>24</v>
      </c>
    </row>
    <row r="64" customFormat="false" ht="15" hidden="false" customHeight="false" outlineLevel="0" collapsed="false">
      <c r="A64" s="29" t="s">
        <v>222</v>
      </c>
      <c r="B64" s="29" t="s">
        <v>173</v>
      </c>
      <c r="C64" s="29" t="s">
        <v>123</v>
      </c>
      <c r="D64" s="29" t="s">
        <v>120</v>
      </c>
      <c r="E64" s="29" t="n">
        <v>2</v>
      </c>
      <c r="F64" s="29" t="s">
        <v>68</v>
      </c>
      <c r="G64" s="30" t="n">
        <v>46157</v>
      </c>
      <c r="H64" s="30" t="n">
        <v>46170</v>
      </c>
      <c r="I64" s="30" t="n">
        <v>46174</v>
      </c>
      <c r="J64" s="31" t="n">
        <f aca="false">IF(AND(ISNUMBER(H64),ISNUMBER(I64)),I64-H64,"")</f>
        <v>4</v>
      </c>
      <c r="K64" s="31" t="n">
        <f aca="false">IF(AND(ISNUMBER(G64),ISNUMBER(I64)),I64-G64,"")</f>
        <v>17</v>
      </c>
    </row>
    <row r="65" customFormat="false" ht="15" hidden="false" customHeight="false" outlineLevel="0" collapsed="false">
      <c r="A65" s="29" t="s">
        <v>223</v>
      </c>
      <c r="B65" s="29" t="s">
        <v>135</v>
      </c>
      <c r="C65" s="29" t="s">
        <v>136</v>
      </c>
      <c r="D65" s="29" t="s">
        <v>120</v>
      </c>
      <c r="E65" s="29" t="n">
        <v>2</v>
      </c>
      <c r="F65" s="29" t="s">
        <v>68</v>
      </c>
      <c r="G65" s="30" t="n">
        <v>46158</v>
      </c>
      <c r="H65" s="30" t="n">
        <v>46174</v>
      </c>
      <c r="I65" s="30" t="n">
        <v>46177</v>
      </c>
      <c r="J65" s="31" t="n">
        <f aca="false">IF(AND(ISNUMBER(H65),ISNUMBER(I65)),I65-H65,"")</f>
        <v>3</v>
      </c>
      <c r="K65" s="31" t="n">
        <f aca="false">IF(AND(ISNUMBER(G65),ISNUMBER(I65)),I65-G65,"")</f>
        <v>19</v>
      </c>
    </row>
    <row r="66" customFormat="false" ht="15" hidden="false" customHeight="false" outlineLevel="0" collapsed="false">
      <c r="A66" s="29" t="s">
        <v>224</v>
      </c>
      <c r="B66" s="29" t="s">
        <v>225</v>
      </c>
      <c r="C66" s="29" t="s">
        <v>119</v>
      </c>
      <c r="D66" s="29" t="s">
        <v>120</v>
      </c>
      <c r="E66" s="29" t="n">
        <v>1</v>
      </c>
      <c r="F66" s="29" t="s">
        <v>68</v>
      </c>
      <c r="G66" s="30" t="n">
        <v>46158</v>
      </c>
      <c r="H66" s="30" t="n">
        <v>46175</v>
      </c>
      <c r="I66" s="30" t="n">
        <v>46177</v>
      </c>
      <c r="J66" s="31" t="n">
        <f aca="false">IF(AND(ISNUMBER(H66),ISNUMBER(I66)),I66-H66,"")</f>
        <v>2</v>
      </c>
      <c r="K66" s="31" t="n">
        <f aca="false">IF(AND(ISNUMBER(G66),ISNUMBER(I66)),I66-G66,"")</f>
        <v>19</v>
      </c>
    </row>
    <row r="67" customFormat="false" ht="15" hidden="false" customHeight="false" outlineLevel="0" collapsed="false">
      <c r="A67" s="29" t="s">
        <v>226</v>
      </c>
      <c r="B67" s="29" t="s">
        <v>213</v>
      </c>
      <c r="C67" s="29" t="s">
        <v>123</v>
      </c>
      <c r="D67" s="29" t="s">
        <v>120</v>
      </c>
      <c r="E67" s="29" t="n">
        <v>1</v>
      </c>
      <c r="F67" s="29" t="s">
        <v>68</v>
      </c>
      <c r="G67" s="30" t="n">
        <v>46159</v>
      </c>
      <c r="H67" s="30" t="n">
        <v>46170</v>
      </c>
      <c r="I67" s="30" t="n">
        <v>46174</v>
      </c>
      <c r="J67" s="31" t="n">
        <f aca="false">IF(AND(ISNUMBER(H67),ISNUMBER(I67)),I67-H67,"")</f>
        <v>4</v>
      </c>
      <c r="K67" s="31" t="n">
        <f aca="false">IF(AND(ISNUMBER(G67),ISNUMBER(I67)),I67-G67,"")</f>
        <v>15</v>
      </c>
    </row>
    <row r="68" customFormat="false" ht="15" hidden="false" customHeight="false" outlineLevel="0" collapsed="false">
      <c r="A68" s="29" t="s">
        <v>227</v>
      </c>
      <c r="B68" s="29" t="s">
        <v>177</v>
      </c>
      <c r="C68" s="29" t="s">
        <v>119</v>
      </c>
      <c r="D68" s="29" t="s">
        <v>120</v>
      </c>
      <c r="E68" s="29" t="n">
        <v>5</v>
      </c>
      <c r="F68" s="29" t="s">
        <v>68</v>
      </c>
      <c r="G68" s="30" t="n">
        <v>46164</v>
      </c>
      <c r="H68" s="30" t="n">
        <v>46175</v>
      </c>
      <c r="I68" s="30" t="n">
        <v>46182</v>
      </c>
      <c r="J68" s="31" t="n">
        <f aca="false">IF(AND(ISNUMBER(H68),ISNUMBER(I68)),I68-H68,"")</f>
        <v>7</v>
      </c>
      <c r="K68" s="31" t="n">
        <f aca="false">IF(AND(ISNUMBER(G68),ISNUMBER(I68)),I68-G68,"")</f>
        <v>18</v>
      </c>
    </row>
    <row r="69" customFormat="false" ht="15" hidden="false" customHeight="false" outlineLevel="0" collapsed="false">
      <c r="A69" s="29" t="s">
        <v>228</v>
      </c>
      <c r="B69" s="29" t="s">
        <v>125</v>
      </c>
      <c r="C69" s="29" t="s">
        <v>123</v>
      </c>
      <c r="D69" s="29" t="s">
        <v>120</v>
      </c>
      <c r="E69" s="29" t="n">
        <v>5</v>
      </c>
      <c r="F69" s="29" t="s">
        <v>69</v>
      </c>
      <c r="G69" s="30" t="n">
        <v>46165</v>
      </c>
      <c r="H69" s="30" t="n">
        <v>46185</v>
      </c>
      <c r="I69" s="30" t="n">
        <v>46189</v>
      </c>
      <c r="J69" s="31" t="n">
        <f aca="false">IF(AND(ISNUMBER(H69),ISNUMBER(I69)),I69-H69,"")</f>
        <v>4</v>
      </c>
      <c r="K69" s="31" t="n">
        <f aca="false">IF(AND(ISNUMBER(G69),ISNUMBER(I69)),I69-G69,"")</f>
        <v>24</v>
      </c>
    </row>
    <row r="70" customFormat="false" ht="15" hidden="false" customHeight="false" outlineLevel="0" collapsed="false">
      <c r="A70" s="29" t="s">
        <v>229</v>
      </c>
      <c r="B70" s="29" t="s">
        <v>213</v>
      </c>
      <c r="C70" s="29" t="s">
        <v>123</v>
      </c>
      <c r="D70" s="29" t="s">
        <v>120</v>
      </c>
      <c r="E70" s="29" t="n">
        <v>2</v>
      </c>
      <c r="F70" s="29" t="s">
        <v>69</v>
      </c>
      <c r="G70" s="30" t="n">
        <v>46165</v>
      </c>
      <c r="H70" s="30" t="n">
        <v>46181</v>
      </c>
      <c r="I70" s="30" t="n">
        <v>46185</v>
      </c>
      <c r="J70" s="31" t="n">
        <f aca="false">IF(AND(ISNUMBER(H70),ISNUMBER(I70)),I70-H70,"")</f>
        <v>4</v>
      </c>
      <c r="K70" s="31" t="n">
        <f aca="false">IF(AND(ISNUMBER(G70),ISNUMBER(I70)),I70-G70,"")</f>
        <v>20</v>
      </c>
    </row>
    <row r="71" customFormat="false" ht="15" hidden="false" customHeight="false" outlineLevel="0" collapsed="false">
      <c r="A71" s="29" t="s">
        <v>230</v>
      </c>
      <c r="B71" s="29" t="s">
        <v>190</v>
      </c>
      <c r="C71" s="29" t="s">
        <v>119</v>
      </c>
      <c r="D71" s="29" t="s">
        <v>120</v>
      </c>
      <c r="E71" s="29" t="n">
        <v>1</v>
      </c>
      <c r="F71" s="29" t="s">
        <v>69</v>
      </c>
      <c r="G71" s="30" t="n">
        <v>46168</v>
      </c>
      <c r="H71" s="30" t="n">
        <v>46185</v>
      </c>
      <c r="I71" s="30" t="n">
        <v>46188</v>
      </c>
      <c r="J71" s="31" t="n">
        <f aca="false">IF(AND(ISNUMBER(H71),ISNUMBER(I71)),I71-H71,"")</f>
        <v>3</v>
      </c>
      <c r="K71" s="31" t="n">
        <f aca="false">IF(AND(ISNUMBER(G71),ISNUMBER(I71)),I71-G71,"")</f>
        <v>20</v>
      </c>
    </row>
    <row r="72" customFormat="false" ht="15" hidden="false" customHeight="false" outlineLevel="0" collapsed="false">
      <c r="A72" s="29" t="s">
        <v>231</v>
      </c>
      <c r="B72" s="29" t="s">
        <v>156</v>
      </c>
      <c r="C72" s="29" t="s">
        <v>119</v>
      </c>
      <c r="D72" s="29" t="s">
        <v>120</v>
      </c>
      <c r="E72" s="29" t="n">
        <v>8</v>
      </c>
      <c r="F72" s="29" t="s">
        <v>69</v>
      </c>
      <c r="G72" s="30" t="n">
        <v>46169</v>
      </c>
      <c r="H72" s="30" t="n">
        <v>46182</v>
      </c>
      <c r="I72" s="30" t="n">
        <v>46197</v>
      </c>
      <c r="J72" s="31" t="n">
        <f aca="false">IF(AND(ISNUMBER(H72),ISNUMBER(I72)),I72-H72,"")</f>
        <v>15</v>
      </c>
      <c r="K72" s="31" t="n">
        <f aca="false">IF(AND(ISNUMBER(G72),ISNUMBER(I72)),I72-G72,"")</f>
        <v>28</v>
      </c>
    </row>
    <row r="73" customFormat="false" ht="15" hidden="false" customHeight="false" outlineLevel="0" collapsed="false">
      <c r="A73" s="29" t="s">
        <v>232</v>
      </c>
      <c r="B73" s="29" t="s">
        <v>233</v>
      </c>
      <c r="C73" s="29" t="s">
        <v>119</v>
      </c>
      <c r="D73" s="29" t="s">
        <v>120</v>
      </c>
      <c r="E73" s="29" t="n">
        <v>3</v>
      </c>
      <c r="F73" s="29" t="s">
        <v>69</v>
      </c>
      <c r="G73" s="30" t="n">
        <v>46172</v>
      </c>
      <c r="H73" s="30" t="n">
        <v>46182</v>
      </c>
      <c r="I73" s="30" t="n">
        <v>46188</v>
      </c>
      <c r="J73" s="31" t="n">
        <f aca="false">IF(AND(ISNUMBER(H73),ISNUMBER(I73)),I73-H73,"")</f>
        <v>6</v>
      </c>
      <c r="K73" s="31" t="n">
        <f aca="false">IF(AND(ISNUMBER(G73),ISNUMBER(I73)),I73-G73,"")</f>
        <v>16</v>
      </c>
    </row>
    <row r="74" customFormat="false" ht="15" hidden="false" customHeight="false" outlineLevel="0" collapsed="false">
      <c r="A74" s="29" t="s">
        <v>234</v>
      </c>
      <c r="B74" s="29" t="s">
        <v>156</v>
      </c>
      <c r="C74" s="29" t="s">
        <v>119</v>
      </c>
      <c r="D74" s="29" t="s">
        <v>120</v>
      </c>
      <c r="E74" s="29" t="n">
        <v>5</v>
      </c>
      <c r="F74" s="29" t="s">
        <v>69</v>
      </c>
      <c r="G74" s="30" t="n">
        <v>46174</v>
      </c>
      <c r="H74" s="30" t="n">
        <v>46189</v>
      </c>
      <c r="I74" s="30" t="n">
        <v>46209</v>
      </c>
      <c r="J74" s="31" t="n">
        <f aca="false">IF(AND(ISNUMBER(H74),ISNUMBER(I74)),I74-H74,"")</f>
        <v>20</v>
      </c>
      <c r="K74" s="31" t="n">
        <f aca="false">IF(AND(ISNUMBER(G74),ISNUMBER(I74)),I74-G74,"")</f>
        <v>35</v>
      </c>
    </row>
    <row r="75" customFormat="false" ht="15" hidden="false" customHeight="false" outlineLevel="0" collapsed="false">
      <c r="A75" s="29" t="s">
        <v>235</v>
      </c>
      <c r="B75" s="29" t="s">
        <v>173</v>
      </c>
      <c r="C75" s="29" t="s">
        <v>123</v>
      </c>
      <c r="D75" s="29" t="s">
        <v>120</v>
      </c>
      <c r="E75" s="29" t="n">
        <v>2</v>
      </c>
      <c r="F75" s="29" t="s">
        <v>69</v>
      </c>
      <c r="G75" s="30" t="n">
        <v>46174</v>
      </c>
      <c r="H75" s="30" t="n">
        <v>46182</v>
      </c>
      <c r="I75" s="30" t="n">
        <v>46188</v>
      </c>
      <c r="J75" s="31" t="n">
        <f aca="false">IF(AND(ISNUMBER(H75),ISNUMBER(I75)),I75-H75,"")</f>
        <v>6</v>
      </c>
      <c r="K75" s="31" t="n">
        <f aca="false">IF(AND(ISNUMBER(G75),ISNUMBER(I75)),I75-G75,"")</f>
        <v>14</v>
      </c>
    </row>
    <row r="76" customFormat="false" ht="15" hidden="false" customHeight="false" outlineLevel="0" collapsed="false">
      <c r="A76" s="29" t="s">
        <v>236</v>
      </c>
      <c r="B76" s="29" t="s">
        <v>237</v>
      </c>
      <c r="C76" s="29" t="s">
        <v>119</v>
      </c>
      <c r="D76" s="29" t="s">
        <v>120</v>
      </c>
      <c r="E76" s="29" t="n">
        <v>3</v>
      </c>
      <c r="F76" s="29" t="s">
        <v>69</v>
      </c>
      <c r="G76" s="30" t="n">
        <v>46176</v>
      </c>
      <c r="H76" s="30" t="n">
        <v>46188</v>
      </c>
      <c r="I76" s="30" t="n">
        <v>46191</v>
      </c>
      <c r="J76" s="31" t="n">
        <f aca="false">IF(AND(ISNUMBER(H76),ISNUMBER(I76)),I76-H76,"")</f>
        <v>3</v>
      </c>
      <c r="K76" s="31" t="n">
        <f aca="false">IF(AND(ISNUMBER(G76),ISNUMBER(I76)),I76-G76,"")</f>
        <v>15</v>
      </c>
    </row>
    <row r="77" customFormat="false" ht="15" hidden="false" customHeight="false" outlineLevel="0" collapsed="false">
      <c r="A77" s="29" t="s">
        <v>238</v>
      </c>
      <c r="B77" s="29" t="s">
        <v>156</v>
      </c>
      <c r="C77" s="29" t="s">
        <v>119</v>
      </c>
      <c r="D77" s="29" t="s">
        <v>239</v>
      </c>
      <c r="E77" s="29" t="n">
        <v>5</v>
      </c>
      <c r="F77" s="29" t="s">
        <v>240</v>
      </c>
      <c r="G77" s="30" t="n">
        <v>46176</v>
      </c>
      <c r="H77" s="30"/>
      <c r="I77" s="30"/>
      <c r="J77" s="31" t="str">
        <f aca="false">IF(AND(ISNUMBER(H77),ISNUMBER(I77)),I77-H77,"")</f>
        <v/>
      </c>
      <c r="K77" s="31" t="str">
        <f aca="false">IF(AND(ISNUMBER(G77),ISNUMBER(I77)),I77-G77,"")</f>
        <v/>
      </c>
    </row>
    <row r="78" customFormat="false" ht="15" hidden="false" customHeight="false" outlineLevel="0" collapsed="false">
      <c r="A78" s="29" t="s">
        <v>241</v>
      </c>
      <c r="B78" s="29" t="s">
        <v>242</v>
      </c>
      <c r="C78" s="29" t="s">
        <v>119</v>
      </c>
      <c r="D78" s="29" t="s">
        <v>239</v>
      </c>
      <c r="E78" s="29" t="n">
        <v>8</v>
      </c>
      <c r="F78" s="29" t="s">
        <v>240</v>
      </c>
      <c r="G78" s="30" t="n">
        <v>46176</v>
      </c>
      <c r="H78" s="30"/>
      <c r="I78" s="30"/>
      <c r="J78" s="31" t="str">
        <f aca="false">IF(AND(ISNUMBER(H78),ISNUMBER(I78)),I78-H78,"")</f>
        <v/>
      </c>
      <c r="K78" s="31" t="str">
        <f aca="false">IF(AND(ISNUMBER(G78),ISNUMBER(I78)),I78-G78,"")</f>
        <v/>
      </c>
    </row>
    <row r="79" customFormat="false" ht="15" hidden="false" customHeight="false" outlineLevel="0" collapsed="false">
      <c r="A79" s="29" t="s">
        <v>243</v>
      </c>
      <c r="B79" s="29" t="s">
        <v>244</v>
      </c>
      <c r="C79" s="29" t="s">
        <v>119</v>
      </c>
      <c r="D79" s="29" t="s">
        <v>120</v>
      </c>
      <c r="E79" s="29" t="n">
        <v>8</v>
      </c>
      <c r="F79" s="29" t="s">
        <v>70</v>
      </c>
      <c r="G79" s="30" t="n">
        <v>46177</v>
      </c>
      <c r="H79" s="30" t="n">
        <v>46198</v>
      </c>
      <c r="I79" s="30" t="n">
        <v>46217</v>
      </c>
      <c r="J79" s="31" t="n">
        <f aca="false">IF(AND(ISNUMBER(H79),ISNUMBER(I79)),I79-H79,"")</f>
        <v>19</v>
      </c>
      <c r="K79" s="31" t="n">
        <f aca="false">IF(AND(ISNUMBER(G79),ISNUMBER(I79)),I79-G79,"")</f>
        <v>40</v>
      </c>
    </row>
    <row r="80" customFormat="false" ht="15" hidden="false" customHeight="false" outlineLevel="0" collapsed="false">
      <c r="A80" s="29" t="s">
        <v>245</v>
      </c>
      <c r="B80" s="29" t="s">
        <v>167</v>
      </c>
      <c r="C80" s="29" t="s">
        <v>119</v>
      </c>
      <c r="D80" s="29" t="s">
        <v>120</v>
      </c>
      <c r="E80" s="29" t="n">
        <v>5</v>
      </c>
      <c r="F80" s="29" t="s">
        <v>70</v>
      </c>
      <c r="G80" s="30" t="n">
        <v>46178</v>
      </c>
      <c r="H80" s="30" t="n">
        <v>46199</v>
      </c>
      <c r="I80" s="30" t="n">
        <v>46205</v>
      </c>
      <c r="J80" s="31" t="n">
        <f aca="false">IF(AND(ISNUMBER(H80),ISNUMBER(I80)),I80-H80,"")</f>
        <v>6</v>
      </c>
      <c r="K80" s="31" t="n">
        <f aca="false">IF(AND(ISNUMBER(G80),ISNUMBER(I80)),I80-G80,"")</f>
        <v>27</v>
      </c>
    </row>
    <row r="81" customFormat="false" ht="15" hidden="false" customHeight="false" outlineLevel="0" collapsed="false">
      <c r="A81" s="29" t="s">
        <v>246</v>
      </c>
      <c r="B81" s="29" t="s">
        <v>162</v>
      </c>
      <c r="C81" s="29" t="s">
        <v>136</v>
      </c>
      <c r="D81" s="29" t="s">
        <v>239</v>
      </c>
      <c r="E81" s="29" t="n">
        <v>1</v>
      </c>
      <c r="F81" s="29" t="s">
        <v>240</v>
      </c>
      <c r="G81" s="30" t="n">
        <v>46179</v>
      </c>
      <c r="H81" s="30"/>
      <c r="I81" s="30"/>
      <c r="J81" s="31" t="str">
        <f aca="false">IF(AND(ISNUMBER(H81),ISNUMBER(I81)),I81-H81,"")</f>
        <v/>
      </c>
      <c r="K81" s="31" t="str">
        <f aca="false">IF(AND(ISNUMBER(G81),ISNUMBER(I81)),I81-G81,"")</f>
        <v/>
      </c>
    </row>
    <row r="82" customFormat="false" ht="15" hidden="false" customHeight="false" outlineLevel="0" collapsed="false">
      <c r="A82" s="29" t="s">
        <v>247</v>
      </c>
      <c r="B82" s="29" t="s">
        <v>188</v>
      </c>
      <c r="C82" s="29" t="s">
        <v>119</v>
      </c>
      <c r="D82" s="29" t="s">
        <v>120</v>
      </c>
      <c r="E82" s="29" t="n">
        <v>1</v>
      </c>
      <c r="F82" s="29" t="s">
        <v>69</v>
      </c>
      <c r="G82" s="30" t="n">
        <v>46180</v>
      </c>
      <c r="H82" s="30" t="n">
        <v>46184</v>
      </c>
      <c r="I82" s="30" t="n">
        <v>46188</v>
      </c>
      <c r="J82" s="31" t="n">
        <f aca="false">IF(AND(ISNUMBER(H82),ISNUMBER(I82)),I82-H82,"")</f>
        <v>4</v>
      </c>
      <c r="K82" s="31" t="n">
        <f aca="false">IF(AND(ISNUMBER(G82),ISNUMBER(I82)),I82-G82,"")</f>
        <v>8</v>
      </c>
    </row>
    <row r="83" customFormat="false" ht="15" hidden="false" customHeight="false" outlineLevel="0" collapsed="false">
      <c r="A83" s="29" t="s">
        <v>248</v>
      </c>
      <c r="B83" s="29" t="s">
        <v>237</v>
      </c>
      <c r="C83" s="29" t="s">
        <v>119</v>
      </c>
      <c r="D83" s="29" t="s">
        <v>120</v>
      </c>
      <c r="E83" s="29" t="n">
        <v>8</v>
      </c>
      <c r="F83" s="29" t="s">
        <v>70</v>
      </c>
      <c r="G83" s="30" t="n">
        <v>46180</v>
      </c>
      <c r="H83" s="30" t="n">
        <v>46203</v>
      </c>
      <c r="I83" s="30" t="n">
        <v>46209</v>
      </c>
      <c r="J83" s="31" t="n">
        <f aca="false">IF(AND(ISNUMBER(H83),ISNUMBER(I83)),I83-H83,"")</f>
        <v>6</v>
      </c>
      <c r="K83" s="31" t="n">
        <f aca="false">IF(AND(ISNUMBER(G83),ISNUMBER(I83)),I83-G83,"")</f>
        <v>29</v>
      </c>
    </row>
    <row r="84" customFormat="false" ht="15" hidden="false" customHeight="false" outlineLevel="0" collapsed="false">
      <c r="A84" s="29" t="s">
        <v>249</v>
      </c>
      <c r="B84" s="29" t="s">
        <v>133</v>
      </c>
      <c r="C84" s="29" t="s">
        <v>119</v>
      </c>
      <c r="D84" s="29" t="s">
        <v>120</v>
      </c>
      <c r="E84" s="29" t="n">
        <v>1</v>
      </c>
      <c r="F84" s="29" t="s">
        <v>70</v>
      </c>
      <c r="G84" s="30" t="n">
        <v>46183</v>
      </c>
      <c r="H84" s="30" t="n">
        <v>46202</v>
      </c>
      <c r="I84" s="30" t="n">
        <v>46205</v>
      </c>
      <c r="J84" s="31" t="n">
        <f aca="false">IF(AND(ISNUMBER(H84),ISNUMBER(I84)),I84-H84,"")</f>
        <v>3</v>
      </c>
      <c r="K84" s="31" t="n">
        <f aca="false">IF(AND(ISNUMBER(G84),ISNUMBER(I84)),I84-G84,"")</f>
        <v>22</v>
      </c>
    </row>
    <row r="85" customFormat="false" ht="15" hidden="false" customHeight="false" outlineLevel="0" collapsed="false">
      <c r="A85" s="29" t="s">
        <v>250</v>
      </c>
      <c r="B85" s="29" t="s">
        <v>188</v>
      </c>
      <c r="C85" s="29" t="s">
        <v>119</v>
      </c>
      <c r="D85" s="29" t="s">
        <v>239</v>
      </c>
      <c r="E85" s="29" t="n">
        <v>5</v>
      </c>
      <c r="F85" s="29" t="s">
        <v>240</v>
      </c>
      <c r="G85" s="30" t="n">
        <v>46183</v>
      </c>
      <c r="H85" s="30"/>
      <c r="I85" s="30"/>
      <c r="J85" s="31" t="str">
        <f aca="false">IF(AND(ISNUMBER(H85),ISNUMBER(I85)),I85-H85,"")</f>
        <v/>
      </c>
      <c r="K85" s="31" t="str">
        <f aca="false">IF(AND(ISNUMBER(G85),ISNUMBER(I85)),I85-G85,"")</f>
        <v/>
      </c>
    </row>
    <row r="86" customFormat="false" ht="15" hidden="false" customHeight="false" outlineLevel="0" collapsed="false">
      <c r="A86" s="29" t="s">
        <v>251</v>
      </c>
      <c r="B86" s="29" t="s">
        <v>252</v>
      </c>
      <c r="C86" s="29" t="s">
        <v>119</v>
      </c>
      <c r="D86" s="29" t="s">
        <v>120</v>
      </c>
      <c r="E86" s="29" t="n">
        <v>2</v>
      </c>
      <c r="F86" s="29" t="s">
        <v>71</v>
      </c>
      <c r="G86" s="30" t="n">
        <v>46185</v>
      </c>
      <c r="H86" s="30" t="n">
        <v>46217</v>
      </c>
      <c r="I86" s="30" t="n">
        <v>46223</v>
      </c>
      <c r="J86" s="31" t="n">
        <f aca="false">IF(AND(ISNUMBER(H86),ISNUMBER(I86)),I86-H86,"")</f>
        <v>6</v>
      </c>
      <c r="K86" s="31" t="n">
        <f aca="false">IF(AND(ISNUMBER(G86),ISNUMBER(I86)),I86-G86,"")</f>
        <v>38</v>
      </c>
    </row>
    <row r="87" customFormat="false" ht="15" hidden="false" customHeight="false" outlineLevel="0" collapsed="false">
      <c r="A87" s="29" t="s">
        <v>253</v>
      </c>
      <c r="B87" s="29" t="s">
        <v>149</v>
      </c>
      <c r="C87" s="29" t="s">
        <v>119</v>
      </c>
      <c r="D87" s="29" t="s">
        <v>120</v>
      </c>
      <c r="E87" s="29" t="n">
        <v>2</v>
      </c>
      <c r="F87" s="29" t="s">
        <v>71</v>
      </c>
      <c r="G87" s="30" t="n">
        <v>46185</v>
      </c>
      <c r="H87" s="30" t="n">
        <v>46209</v>
      </c>
      <c r="I87" s="30" t="n">
        <v>46213</v>
      </c>
      <c r="J87" s="31" t="n">
        <f aca="false">IF(AND(ISNUMBER(H87),ISNUMBER(I87)),I87-H87,"")</f>
        <v>4</v>
      </c>
      <c r="K87" s="31" t="n">
        <f aca="false">IF(AND(ISNUMBER(G87),ISNUMBER(I87)),I87-G87,"")</f>
        <v>28</v>
      </c>
    </row>
    <row r="88" customFormat="false" ht="15" hidden="false" customHeight="false" outlineLevel="0" collapsed="false">
      <c r="A88" s="29" t="s">
        <v>254</v>
      </c>
      <c r="B88" s="29" t="s">
        <v>179</v>
      </c>
      <c r="C88" s="29" t="s">
        <v>119</v>
      </c>
      <c r="D88" s="29" t="s">
        <v>120</v>
      </c>
      <c r="E88" s="29" t="n">
        <v>5</v>
      </c>
      <c r="F88" s="29" t="s">
        <v>70</v>
      </c>
      <c r="G88" s="30" t="n">
        <v>46191</v>
      </c>
      <c r="H88" s="30" t="n">
        <v>46199</v>
      </c>
      <c r="I88" s="30" t="n">
        <v>46202</v>
      </c>
      <c r="J88" s="31" t="n">
        <f aca="false">IF(AND(ISNUMBER(H88),ISNUMBER(I88)),I88-H88,"")</f>
        <v>3</v>
      </c>
      <c r="K88" s="31" t="n">
        <f aca="false">IF(AND(ISNUMBER(G88),ISNUMBER(I88)),I88-G88,"")</f>
        <v>11</v>
      </c>
    </row>
    <row r="89" customFormat="false" ht="15" hidden="false" customHeight="false" outlineLevel="0" collapsed="false">
      <c r="A89" s="29" t="s">
        <v>255</v>
      </c>
      <c r="B89" s="29" t="s">
        <v>122</v>
      </c>
      <c r="C89" s="29" t="s">
        <v>123</v>
      </c>
      <c r="D89" s="29" t="s">
        <v>239</v>
      </c>
      <c r="E89" s="29" t="n">
        <v>5</v>
      </c>
      <c r="F89" s="29" t="s">
        <v>240</v>
      </c>
      <c r="G89" s="30" t="n">
        <v>46191</v>
      </c>
      <c r="H89" s="30"/>
      <c r="I89" s="30"/>
      <c r="J89" s="31" t="str">
        <f aca="false">IF(AND(ISNUMBER(H89),ISNUMBER(I89)),I89-H89,"")</f>
        <v/>
      </c>
      <c r="K89" s="31" t="str">
        <f aca="false">IF(AND(ISNUMBER(G89),ISNUMBER(I89)),I89-G89,"")</f>
        <v/>
      </c>
    </row>
    <row r="90" customFormat="false" ht="15" hidden="false" customHeight="false" outlineLevel="0" collapsed="false">
      <c r="A90" s="29" t="s">
        <v>256</v>
      </c>
      <c r="B90" s="29" t="s">
        <v>257</v>
      </c>
      <c r="C90" s="29" t="s">
        <v>136</v>
      </c>
      <c r="D90" s="29" t="s">
        <v>120</v>
      </c>
      <c r="E90" s="29" t="n">
        <v>1</v>
      </c>
      <c r="F90" s="29" t="s">
        <v>70</v>
      </c>
      <c r="G90" s="30" t="n">
        <v>46192</v>
      </c>
      <c r="H90" s="30" t="n">
        <v>46202</v>
      </c>
      <c r="I90" s="30" t="n">
        <v>46203</v>
      </c>
      <c r="J90" s="31" t="n">
        <f aca="false">IF(AND(ISNUMBER(H90),ISNUMBER(I90)),I90-H90,"")</f>
        <v>1</v>
      </c>
      <c r="K90" s="31" t="n">
        <f aca="false">IF(AND(ISNUMBER(G90),ISNUMBER(I90)),I90-G90,"")</f>
        <v>11</v>
      </c>
    </row>
    <row r="91" customFormat="false" ht="15" hidden="false" customHeight="false" outlineLevel="0" collapsed="false">
      <c r="A91" s="29" t="s">
        <v>258</v>
      </c>
      <c r="B91" s="29" t="s">
        <v>196</v>
      </c>
      <c r="C91" s="29" t="s">
        <v>119</v>
      </c>
      <c r="D91" s="29" t="s">
        <v>120</v>
      </c>
      <c r="E91" s="29" t="n">
        <v>3</v>
      </c>
      <c r="F91" s="29" t="s">
        <v>70</v>
      </c>
      <c r="G91" s="30" t="n">
        <v>46192</v>
      </c>
      <c r="H91" s="30" t="n">
        <v>46203</v>
      </c>
      <c r="I91" s="30" t="n">
        <v>46212</v>
      </c>
      <c r="J91" s="31" t="n">
        <f aca="false">IF(AND(ISNUMBER(H91),ISNUMBER(I91)),I91-H91,"")</f>
        <v>9</v>
      </c>
      <c r="K91" s="31" t="n">
        <f aca="false">IF(AND(ISNUMBER(G91),ISNUMBER(I91)),I91-G91,"")</f>
        <v>20</v>
      </c>
    </row>
    <row r="92" customFormat="false" ht="15" hidden="false" customHeight="false" outlineLevel="0" collapsed="false">
      <c r="A92" s="29" t="s">
        <v>259</v>
      </c>
      <c r="B92" s="29" t="s">
        <v>260</v>
      </c>
      <c r="C92" s="29" t="s">
        <v>119</v>
      </c>
      <c r="D92" s="29" t="s">
        <v>120</v>
      </c>
      <c r="E92" s="29" t="n">
        <v>2</v>
      </c>
      <c r="F92" s="29" t="s">
        <v>70</v>
      </c>
      <c r="G92" s="30" t="n">
        <v>46193</v>
      </c>
      <c r="H92" s="30" t="n">
        <v>46197</v>
      </c>
      <c r="I92" s="30" t="n">
        <v>46198</v>
      </c>
      <c r="J92" s="31" t="n">
        <f aca="false">IF(AND(ISNUMBER(H92),ISNUMBER(I92)),I92-H92,"")</f>
        <v>1</v>
      </c>
      <c r="K92" s="31" t="n">
        <f aca="false">IF(AND(ISNUMBER(G92),ISNUMBER(I92)),I92-G92,"")</f>
        <v>5</v>
      </c>
    </row>
    <row r="93" customFormat="false" ht="15" hidden="false" customHeight="false" outlineLevel="0" collapsed="false">
      <c r="A93" s="29" t="s">
        <v>261</v>
      </c>
      <c r="B93" s="29" t="s">
        <v>196</v>
      </c>
      <c r="C93" s="29" t="s">
        <v>119</v>
      </c>
      <c r="D93" s="29" t="s">
        <v>239</v>
      </c>
      <c r="E93" s="29" t="n">
        <v>3</v>
      </c>
      <c r="F93" s="29" t="s">
        <v>240</v>
      </c>
      <c r="G93" s="30" t="n">
        <v>46193</v>
      </c>
      <c r="H93" s="30"/>
      <c r="I93" s="30"/>
      <c r="J93" s="31" t="str">
        <f aca="false">IF(AND(ISNUMBER(H93),ISNUMBER(I93)),I93-H93,"")</f>
        <v/>
      </c>
      <c r="K93" s="31" t="str">
        <f aca="false">IF(AND(ISNUMBER(G93),ISNUMBER(I93)),I93-G93,"")</f>
        <v/>
      </c>
    </row>
    <row r="94" customFormat="false" ht="15" hidden="false" customHeight="false" outlineLevel="0" collapsed="false">
      <c r="A94" s="29" t="s">
        <v>262</v>
      </c>
      <c r="B94" s="29" t="s">
        <v>135</v>
      </c>
      <c r="C94" s="29" t="s">
        <v>136</v>
      </c>
      <c r="D94" s="29" t="s">
        <v>239</v>
      </c>
      <c r="E94" s="29" t="n">
        <v>1</v>
      </c>
      <c r="F94" s="29" t="s">
        <v>240</v>
      </c>
      <c r="G94" s="30" t="n">
        <v>46193</v>
      </c>
      <c r="H94" s="30"/>
      <c r="I94" s="30"/>
      <c r="J94" s="31" t="str">
        <f aca="false">IF(AND(ISNUMBER(H94),ISNUMBER(I94)),I94-H94,"")</f>
        <v/>
      </c>
      <c r="K94" s="31" t="str">
        <f aca="false">IF(AND(ISNUMBER(G94),ISNUMBER(I94)),I94-G94,"")</f>
        <v/>
      </c>
    </row>
    <row r="95" customFormat="false" ht="15" hidden="false" customHeight="false" outlineLevel="0" collapsed="false">
      <c r="A95" s="29" t="s">
        <v>263</v>
      </c>
      <c r="B95" s="29" t="s">
        <v>264</v>
      </c>
      <c r="C95" s="29" t="s">
        <v>119</v>
      </c>
      <c r="D95" s="29" t="s">
        <v>239</v>
      </c>
      <c r="E95" s="29" t="n">
        <v>1</v>
      </c>
      <c r="F95" s="29" t="s">
        <v>240</v>
      </c>
      <c r="G95" s="30" t="n">
        <v>46193</v>
      </c>
      <c r="H95" s="30"/>
      <c r="I95" s="30"/>
      <c r="J95" s="31" t="str">
        <f aca="false">IF(AND(ISNUMBER(H95),ISNUMBER(I95)),I95-H95,"")</f>
        <v/>
      </c>
      <c r="K95" s="31" t="str">
        <f aca="false">IF(AND(ISNUMBER(G95),ISNUMBER(I95)),I95-G95,"")</f>
        <v/>
      </c>
    </row>
    <row r="96" customFormat="false" ht="15" hidden="false" customHeight="false" outlineLevel="0" collapsed="false">
      <c r="A96" s="29" t="s">
        <v>265</v>
      </c>
      <c r="B96" s="29" t="s">
        <v>125</v>
      </c>
      <c r="C96" s="29" t="s">
        <v>123</v>
      </c>
      <c r="D96" s="29" t="s">
        <v>120</v>
      </c>
      <c r="E96" s="29" t="n">
        <v>1</v>
      </c>
      <c r="F96" s="29" t="s">
        <v>70</v>
      </c>
      <c r="G96" s="30" t="n">
        <v>46194</v>
      </c>
      <c r="H96" s="30" t="n">
        <v>46195</v>
      </c>
      <c r="I96" s="30" t="n">
        <v>46197</v>
      </c>
      <c r="J96" s="31" t="n">
        <f aca="false">IF(AND(ISNUMBER(H96),ISNUMBER(I96)),I96-H96,"")</f>
        <v>2</v>
      </c>
      <c r="K96" s="31" t="n">
        <f aca="false">IF(AND(ISNUMBER(G96),ISNUMBER(I96)),I96-G96,"")</f>
        <v>3</v>
      </c>
    </row>
    <row r="97" customFormat="false" ht="15" hidden="false" customHeight="false" outlineLevel="0" collapsed="false">
      <c r="A97" s="29" t="s">
        <v>266</v>
      </c>
      <c r="B97" s="29" t="s">
        <v>122</v>
      </c>
      <c r="C97" s="29" t="s">
        <v>123</v>
      </c>
      <c r="D97" s="29" t="s">
        <v>120</v>
      </c>
      <c r="E97" s="29" t="n">
        <v>2</v>
      </c>
      <c r="F97" s="29" t="s">
        <v>71</v>
      </c>
      <c r="G97" s="30" t="n">
        <v>46195</v>
      </c>
      <c r="H97" s="30" t="n">
        <v>46211</v>
      </c>
      <c r="I97" s="30" t="n">
        <v>46225</v>
      </c>
      <c r="J97" s="31" t="n">
        <f aca="false">IF(AND(ISNUMBER(H97),ISNUMBER(I97)),I97-H97,"")</f>
        <v>14</v>
      </c>
      <c r="K97" s="31" t="n">
        <f aca="false">IF(AND(ISNUMBER(G97),ISNUMBER(I97)),I97-G97,"")</f>
        <v>30</v>
      </c>
    </row>
    <row r="98" customFormat="false" ht="15" hidden="false" customHeight="false" outlineLevel="0" collapsed="false">
      <c r="A98" s="29" t="s">
        <v>267</v>
      </c>
      <c r="B98" s="29" t="s">
        <v>268</v>
      </c>
      <c r="C98" s="29" t="s">
        <v>119</v>
      </c>
      <c r="D98" s="29" t="s">
        <v>120</v>
      </c>
      <c r="E98" s="29" t="n">
        <v>3</v>
      </c>
      <c r="F98" s="29" t="s">
        <v>71</v>
      </c>
      <c r="G98" s="30" t="n">
        <v>46195</v>
      </c>
      <c r="H98" s="30" t="n">
        <v>46213</v>
      </c>
      <c r="I98" s="30" t="n">
        <v>46218</v>
      </c>
      <c r="J98" s="31" t="n">
        <f aca="false">IF(AND(ISNUMBER(H98),ISNUMBER(I98)),I98-H98,"")</f>
        <v>5</v>
      </c>
      <c r="K98" s="31" t="n">
        <f aca="false">IF(AND(ISNUMBER(G98),ISNUMBER(I98)),I98-G98,"")</f>
        <v>23</v>
      </c>
    </row>
    <row r="99" customFormat="false" ht="15" hidden="false" customHeight="false" outlineLevel="0" collapsed="false">
      <c r="A99" s="29" t="s">
        <v>269</v>
      </c>
      <c r="B99" s="29" t="s">
        <v>196</v>
      </c>
      <c r="C99" s="29" t="s">
        <v>119</v>
      </c>
      <c r="D99" s="29" t="s">
        <v>239</v>
      </c>
      <c r="E99" s="29" t="n">
        <v>5</v>
      </c>
      <c r="F99" s="29" t="s">
        <v>240</v>
      </c>
      <c r="G99" s="30" t="n">
        <v>46196</v>
      </c>
      <c r="H99" s="30"/>
      <c r="I99" s="30"/>
      <c r="J99" s="31" t="str">
        <f aca="false">IF(AND(ISNUMBER(H99),ISNUMBER(I99)),I99-H99,"")</f>
        <v/>
      </c>
      <c r="K99" s="31" t="str">
        <f aca="false">IF(AND(ISNUMBER(G99),ISNUMBER(I99)),I99-G99,"")</f>
        <v/>
      </c>
    </row>
    <row r="100" customFormat="false" ht="15" hidden="false" customHeight="false" outlineLevel="0" collapsed="false">
      <c r="A100" s="29" t="s">
        <v>270</v>
      </c>
      <c r="B100" s="29" t="s">
        <v>122</v>
      </c>
      <c r="C100" s="29" t="s">
        <v>123</v>
      </c>
      <c r="D100" s="29" t="s">
        <v>120</v>
      </c>
      <c r="E100" s="29" t="n">
        <v>3</v>
      </c>
      <c r="F100" s="29" t="s">
        <v>71</v>
      </c>
      <c r="G100" s="30" t="n">
        <v>46197</v>
      </c>
      <c r="H100" s="30" t="n">
        <v>46216</v>
      </c>
      <c r="I100" s="30" t="n">
        <v>46223</v>
      </c>
      <c r="J100" s="31" t="n">
        <f aca="false">IF(AND(ISNUMBER(H100),ISNUMBER(I100)),I100-H100,"")</f>
        <v>7</v>
      </c>
      <c r="K100" s="31" t="n">
        <f aca="false">IF(AND(ISNUMBER(G100),ISNUMBER(I100)),I100-G100,"")</f>
        <v>26</v>
      </c>
    </row>
    <row r="101" customFormat="false" ht="15" hidden="false" customHeight="false" outlineLevel="0" collapsed="false">
      <c r="A101" s="29" t="s">
        <v>271</v>
      </c>
      <c r="B101" s="29" t="s">
        <v>272</v>
      </c>
      <c r="C101" s="29" t="s">
        <v>136</v>
      </c>
      <c r="D101" s="29" t="s">
        <v>120</v>
      </c>
      <c r="E101" s="29" t="n">
        <v>3</v>
      </c>
      <c r="F101" s="29" t="s">
        <v>71</v>
      </c>
      <c r="G101" s="30" t="n">
        <v>46198</v>
      </c>
      <c r="H101" s="30" t="n">
        <v>46212</v>
      </c>
      <c r="I101" s="30" t="n">
        <v>46225</v>
      </c>
      <c r="J101" s="31" t="n">
        <f aca="false">IF(AND(ISNUMBER(H101),ISNUMBER(I101)),I101-H101,"")</f>
        <v>13</v>
      </c>
      <c r="K101" s="31" t="n">
        <f aca="false">IF(AND(ISNUMBER(G101),ISNUMBER(I101)),I101-G101,"")</f>
        <v>27</v>
      </c>
    </row>
    <row r="102" customFormat="false" ht="15" hidden="false" customHeight="false" outlineLevel="0" collapsed="false">
      <c r="A102" s="29" t="s">
        <v>273</v>
      </c>
      <c r="B102" s="29" t="s">
        <v>125</v>
      </c>
      <c r="C102" s="29" t="s">
        <v>123</v>
      </c>
      <c r="D102" s="29" t="s">
        <v>120</v>
      </c>
      <c r="E102" s="29" t="n">
        <v>1</v>
      </c>
      <c r="F102" s="29" t="s">
        <v>71</v>
      </c>
      <c r="G102" s="30" t="n">
        <v>46200</v>
      </c>
      <c r="H102" s="30" t="n">
        <v>46216</v>
      </c>
      <c r="I102" s="30" t="n">
        <v>46218</v>
      </c>
      <c r="J102" s="31" t="n">
        <f aca="false">IF(AND(ISNUMBER(H102),ISNUMBER(I102)),I102-H102,"")</f>
        <v>2</v>
      </c>
      <c r="K102" s="31" t="n">
        <f aca="false">IF(AND(ISNUMBER(G102),ISNUMBER(I102)),I102-G102,"")</f>
        <v>18</v>
      </c>
    </row>
    <row r="103" customFormat="false" ht="15" hidden="false" customHeight="false" outlineLevel="0" collapsed="false">
      <c r="A103" s="29" t="s">
        <v>274</v>
      </c>
      <c r="B103" s="29" t="s">
        <v>213</v>
      </c>
      <c r="C103" s="29" t="s">
        <v>123</v>
      </c>
      <c r="D103" s="29" t="s">
        <v>120</v>
      </c>
      <c r="E103" s="29" t="n">
        <v>2</v>
      </c>
      <c r="F103" s="29" t="s">
        <v>71</v>
      </c>
      <c r="G103" s="30" t="n">
        <v>46203</v>
      </c>
      <c r="H103" s="30" t="n">
        <v>46216</v>
      </c>
      <c r="I103" s="30" t="n">
        <v>46226</v>
      </c>
      <c r="J103" s="31" t="n">
        <f aca="false">IF(AND(ISNUMBER(H103),ISNUMBER(I103)),I103-H103,"")</f>
        <v>10</v>
      </c>
      <c r="K103" s="31" t="n">
        <f aca="false">IF(AND(ISNUMBER(G103),ISNUMBER(I103)),I103-G103,"")</f>
        <v>23</v>
      </c>
    </row>
    <row r="104" customFormat="false" ht="15" hidden="false" customHeight="false" outlineLevel="0" collapsed="false">
      <c r="A104" s="29" t="s">
        <v>275</v>
      </c>
      <c r="B104" s="29" t="s">
        <v>125</v>
      </c>
      <c r="C104" s="29" t="s">
        <v>123</v>
      </c>
      <c r="D104" s="29" t="s">
        <v>276</v>
      </c>
      <c r="E104" s="29" t="n">
        <v>1</v>
      </c>
      <c r="F104" s="29" t="s">
        <v>277</v>
      </c>
      <c r="G104" s="30" t="n">
        <v>46205</v>
      </c>
      <c r="H104" s="30" t="n">
        <v>46224</v>
      </c>
      <c r="I104" s="30"/>
      <c r="J104" s="31" t="str">
        <f aca="false">IF(AND(ISNUMBER(H104),ISNUMBER(I104)),I104-H104,"")</f>
        <v/>
      </c>
      <c r="K104" s="31" t="str">
        <f aca="false">IF(AND(ISNUMBER(G104),ISNUMBER(I104)),I104-G104,"")</f>
        <v/>
      </c>
    </row>
    <row r="105" customFormat="false" ht="15" hidden="false" customHeight="false" outlineLevel="0" collapsed="false">
      <c r="A105" s="29" t="s">
        <v>278</v>
      </c>
      <c r="B105" s="29" t="s">
        <v>211</v>
      </c>
      <c r="C105" s="29" t="s">
        <v>119</v>
      </c>
      <c r="D105" s="29" t="s">
        <v>239</v>
      </c>
      <c r="E105" s="29" t="n">
        <v>1</v>
      </c>
      <c r="F105" s="29" t="s">
        <v>240</v>
      </c>
      <c r="G105" s="30" t="n">
        <v>46205</v>
      </c>
      <c r="H105" s="30"/>
      <c r="I105" s="30"/>
      <c r="J105" s="31" t="str">
        <f aca="false">IF(AND(ISNUMBER(H105),ISNUMBER(I105)),I105-H105,"")</f>
        <v/>
      </c>
      <c r="K105" s="31" t="str">
        <f aca="false">IF(AND(ISNUMBER(G105),ISNUMBER(I105)),I105-G105,"")</f>
        <v/>
      </c>
    </row>
    <row r="106" customFormat="false" ht="15" hidden="false" customHeight="false" outlineLevel="0" collapsed="false">
      <c r="A106" s="29" t="s">
        <v>279</v>
      </c>
      <c r="B106" s="29" t="s">
        <v>242</v>
      </c>
      <c r="C106" s="29" t="s">
        <v>119</v>
      </c>
      <c r="D106" s="29" t="s">
        <v>120</v>
      </c>
      <c r="E106" s="29" t="n">
        <v>5</v>
      </c>
      <c r="F106" s="29" t="s">
        <v>71</v>
      </c>
      <c r="G106" s="30" t="n">
        <v>46206</v>
      </c>
      <c r="H106" s="30" t="n">
        <v>46213</v>
      </c>
      <c r="I106" s="30" t="n">
        <v>46227</v>
      </c>
      <c r="J106" s="31" t="n">
        <f aca="false">IF(AND(ISNUMBER(H106),ISNUMBER(I106)),I106-H106,"")</f>
        <v>14</v>
      </c>
      <c r="K106" s="31" t="n">
        <f aca="false">IF(AND(ISNUMBER(G106),ISNUMBER(I106)),I106-G106,"")</f>
        <v>21</v>
      </c>
    </row>
    <row r="107" customFormat="false" ht="15" hidden="false" customHeight="false" outlineLevel="0" collapsed="false">
      <c r="A107" s="29" t="s">
        <v>280</v>
      </c>
      <c r="B107" s="29" t="s">
        <v>162</v>
      </c>
      <c r="C107" s="29" t="s">
        <v>136</v>
      </c>
      <c r="D107" s="29" t="s">
        <v>120</v>
      </c>
      <c r="E107" s="29" t="n">
        <v>1</v>
      </c>
      <c r="F107" s="29" t="s">
        <v>71</v>
      </c>
      <c r="G107" s="30" t="n">
        <v>46206</v>
      </c>
      <c r="H107" s="30" t="n">
        <v>46216</v>
      </c>
      <c r="I107" s="30" t="n">
        <v>46219</v>
      </c>
      <c r="J107" s="31" t="n">
        <f aca="false">IF(AND(ISNUMBER(H107),ISNUMBER(I107)),I107-H107,"")</f>
        <v>3</v>
      </c>
      <c r="K107" s="31" t="n">
        <f aca="false">IF(AND(ISNUMBER(G107),ISNUMBER(I107)),I107-G107,"")</f>
        <v>13</v>
      </c>
    </row>
    <row r="108" customFormat="false" ht="15" hidden="false" customHeight="false" outlineLevel="0" collapsed="false">
      <c r="A108" s="29" t="s">
        <v>281</v>
      </c>
      <c r="B108" s="29" t="s">
        <v>282</v>
      </c>
      <c r="C108" s="29" t="s">
        <v>119</v>
      </c>
      <c r="D108" s="29" t="s">
        <v>120</v>
      </c>
      <c r="E108" s="29" t="n">
        <v>1</v>
      </c>
      <c r="F108" s="29" t="s">
        <v>71</v>
      </c>
      <c r="G108" s="30" t="n">
        <v>46208</v>
      </c>
      <c r="H108" s="30" t="n">
        <v>46216</v>
      </c>
      <c r="I108" s="30" t="n">
        <v>46219</v>
      </c>
      <c r="J108" s="31" t="n">
        <f aca="false">IF(AND(ISNUMBER(H108),ISNUMBER(I108)),I108-H108,"")</f>
        <v>3</v>
      </c>
      <c r="K108" s="31" t="n">
        <f aca="false">IF(AND(ISNUMBER(G108),ISNUMBER(I108)),I108-G108,"")</f>
        <v>11</v>
      </c>
    </row>
    <row r="109" customFormat="false" ht="15" hidden="false" customHeight="false" outlineLevel="0" collapsed="false">
      <c r="A109" s="29" t="s">
        <v>283</v>
      </c>
      <c r="B109" s="29" t="s">
        <v>284</v>
      </c>
      <c r="C109" s="29" t="s">
        <v>119</v>
      </c>
      <c r="D109" s="29" t="s">
        <v>239</v>
      </c>
      <c r="E109" s="29" t="n">
        <v>1</v>
      </c>
      <c r="F109" s="29" t="s">
        <v>240</v>
      </c>
      <c r="G109" s="30" t="n">
        <v>46208</v>
      </c>
      <c r="H109" s="30"/>
      <c r="I109" s="30"/>
      <c r="J109" s="31" t="str">
        <f aca="false">IF(AND(ISNUMBER(H109),ISNUMBER(I109)),I109-H109,"")</f>
        <v/>
      </c>
      <c r="K109" s="31" t="str">
        <f aca="false">IF(AND(ISNUMBER(G109),ISNUMBER(I109)),I109-G109,"")</f>
        <v/>
      </c>
    </row>
    <row r="110" customFormat="false" ht="15" hidden="false" customHeight="false" outlineLevel="0" collapsed="false">
      <c r="A110" s="29" t="s">
        <v>285</v>
      </c>
      <c r="B110" s="29" t="s">
        <v>173</v>
      </c>
      <c r="C110" s="29" t="s">
        <v>123</v>
      </c>
      <c r="D110" s="29" t="s">
        <v>239</v>
      </c>
      <c r="E110" s="29" t="n">
        <v>2</v>
      </c>
      <c r="F110" s="29" t="s">
        <v>240</v>
      </c>
      <c r="G110" s="30" t="n">
        <v>46208</v>
      </c>
      <c r="H110" s="30"/>
      <c r="I110" s="30"/>
      <c r="J110" s="31" t="str">
        <f aca="false">IF(AND(ISNUMBER(H110),ISNUMBER(I110)),I110-H110,"")</f>
        <v/>
      </c>
      <c r="K110" s="31" t="str">
        <f aca="false">IF(AND(ISNUMBER(G110),ISNUMBER(I110)),I110-G110,"")</f>
        <v/>
      </c>
    </row>
    <row r="111" customFormat="false" ht="15" hidden="false" customHeight="false" outlineLevel="0" collapsed="false">
      <c r="A111" s="29" t="s">
        <v>286</v>
      </c>
      <c r="B111" s="29" t="s">
        <v>287</v>
      </c>
      <c r="C111" s="29" t="s">
        <v>119</v>
      </c>
      <c r="D111" s="29" t="s">
        <v>239</v>
      </c>
      <c r="E111" s="29" t="n">
        <v>5</v>
      </c>
      <c r="F111" s="29" t="s">
        <v>240</v>
      </c>
      <c r="G111" s="30" t="n">
        <v>46208</v>
      </c>
      <c r="H111" s="30"/>
      <c r="I111" s="30"/>
      <c r="J111" s="31" t="str">
        <f aca="false">IF(AND(ISNUMBER(H111),ISNUMBER(I111)),I111-H111,"")</f>
        <v/>
      </c>
      <c r="K111" s="31" t="str">
        <f aca="false">IF(AND(ISNUMBER(G111),ISNUMBER(I111)),I111-G111,"")</f>
        <v/>
      </c>
    </row>
    <row r="112" customFormat="false" ht="15" hidden="false" customHeight="false" outlineLevel="0" collapsed="false">
      <c r="A112" s="29" t="s">
        <v>288</v>
      </c>
      <c r="B112" s="29" t="s">
        <v>125</v>
      </c>
      <c r="C112" s="29" t="s">
        <v>123</v>
      </c>
      <c r="D112" s="29" t="s">
        <v>239</v>
      </c>
      <c r="E112" s="29" t="n">
        <v>1</v>
      </c>
      <c r="F112" s="29" t="s">
        <v>277</v>
      </c>
      <c r="G112" s="30" t="n">
        <v>46209</v>
      </c>
      <c r="H112" s="30"/>
      <c r="I112" s="30"/>
      <c r="J112" s="31" t="str">
        <f aca="false">IF(AND(ISNUMBER(H112),ISNUMBER(I112)),I112-H112,"")</f>
        <v/>
      </c>
      <c r="K112" s="31" t="str">
        <f aca="false">IF(AND(ISNUMBER(G112),ISNUMBER(I112)),I112-G112,"")</f>
        <v/>
      </c>
    </row>
    <row r="113" customFormat="false" ht="15" hidden="false" customHeight="false" outlineLevel="0" collapsed="false">
      <c r="A113" s="29" t="s">
        <v>289</v>
      </c>
      <c r="B113" s="29" t="s">
        <v>290</v>
      </c>
      <c r="C113" s="29" t="s">
        <v>136</v>
      </c>
      <c r="D113" s="29" t="s">
        <v>291</v>
      </c>
      <c r="E113" s="29" t="n">
        <v>2</v>
      </c>
      <c r="F113" s="29" t="s">
        <v>277</v>
      </c>
      <c r="G113" s="30" t="n">
        <v>46212</v>
      </c>
      <c r="H113" s="30" t="n">
        <v>46227</v>
      </c>
      <c r="I113" s="30"/>
      <c r="J113" s="31" t="str">
        <f aca="false">IF(AND(ISNUMBER(H113),ISNUMBER(I113)),I113-H113,"")</f>
        <v/>
      </c>
      <c r="K113" s="31" t="str">
        <f aca="false">IF(AND(ISNUMBER(G113),ISNUMBER(I113)),I113-G113,"")</f>
        <v/>
      </c>
    </row>
    <row r="114" customFormat="false" ht="15" hidden="false" customHeight="false" outlineLevel="0" collapsed="false">
      <c r="A114" s="29" t="s">
        <v>292</v>
      </c>
      <c r="B114" s="29" t="s">
        <v>293</v>
      </c>
      <c r="C114" s="29" t="s">
        <v>119</v>
      </c>
      <c r="D114" s="29" t="s">
        <v>239</v>
      </c>
      <c r="E114" s="29" t="n">
        <v>2</v>
      </c>
      <c r="F114" s="29" t="s">
        <v>277</v>
      </c>
      <c r="G114" s="30" t="n">
        <v>46212</v>
      </c>
      <c r="H114" s="30"/>
      <c r="I114" s="30"/>
      <c r="J114" s="31" t="str">
        <f aca="false">IF(AND(ISNUMBER(H114),ISNUMBER(I114)),I114-H114,"")</f>
        <v/>
      </c>
      <c r="K114" s="31" t="str">
        <f aca="false">IF(AND(ISNUMBER(G114),ISNUMBER(I114)),I114-G114,"")</f>
        <v/>
      </c>
    </row>
    <row r="115" customFormat="false" ht="15" hidden="false" customHeight="false" outlineLevel="0" collapsed="false">
      <c r="A115" s="29" t="s">
        <v>294</v>
      </c>
      <c r="B115" s="29" t="s">
        <v>131</v>
      </c>
      <c r="C115" s="29" t="s">
        <v>119</v>
      </c>
      <c r="D115" s="29" t="s">
        <v>291</v>
      </c>
      <c r="E115" s="29" t="n">
        <v>3</v>
      </c>
      <c r="F115" s="29" t="s">
        <v>277</v>
      </c>
      <c r="G115" s="30" t="n">
        <v>46213</v>
      </c>
      <c r="H115" s="30" t="n">
        <v>46227</v>
      </c>
      <c r="I115" s="30"/>
      <c r="J115" s="31" t="str">
        <f aca="false">IF(AND(ISNUMBER(H115),ISNUMBER(I115)),I115-H115,"")</f>
        <v/>
      </c>
      <c r="K115" s="31" t="str">
        <f aca="false">IF(AND(ISNUMBER(G115),ISNUMBER(I115)),I115-G115,"")</f>
        <v/>
      </c>
    </row>
    <row r="116" customFormat="false" ht="15" hidden="false" customHeight="false" outlineLevel="0" collapsed="false">
      <c r="A116" s="29" t="s">
        <v>295</v>
      </c>
      <c r="B116" s="29" t="s">
        <v>296</v>
      </c>
      <c r="C116" s="29" t="s">
        <v>119</v>
      </c>
      <c r="D116" s="29" t="s">
        <v>291</v>
      </c>
      <c r="E116" s="29" t="n">
        <v>1</v>
      </c>
      <c r="F116" s="29" t="s">
        <v>277</v>
      </c>
      <c r="G116" s="30" t="n">
        <v>46213</v>
      </c>
      <c r="H116" s="30" t="n">
        <v>46224</v>
      </c>
      <c r="I116" s="30"/>
      <c r="J116" s="31" t="str">
        <f aca="false">IF(AND(ISNUMBER(H116),ISNUMBER(I116)),I116-H116,"")</f>
        <v/>
      </c>
      <c r="K116" s="31" t="str">
        <f aca="false">IF(AND(ISNUMBER(G116),ISNUMBER(I116)),I116-G116,"")</f>
        <v/>
      </c>
    </row>
    <row r="117" customFormat="false" ht="15" hidden="false" customHeight="false" outlineLevel="0" collapsed="false">
      <c r="A117" s="29" t="s">
        <v>297</v>
      </c>
      <c r="B117" s="29" t="s">
        <v>298</v>
      </c>
      <c r="C117" s="29" t="s">
        <v>119</v>
      </c>
      <c r="D117" s="29" t="s">
        <v>276</v>
      </c>
      <c r="E117" s="29" t="n">
        <v>3</v>
      </c>
      <c r="F117" s="29" t="s">
        <v>277</v>
      </c>
      <c r="G117" s="30" t="n">
        <v>46213</v>
      </c>
      <c r="H117" s="30" t="n">
        <v>46223</v>
      </c>
      <c r="I117" s="30"/>
      <c r="J117" s="31" t="str">
        <f aca="false">IF(AND(ISNUMBER(H117),ISNUMBER(I117)),I117-H117,"")</f>
        <v/>
      </c>
      <c r="K117" s="31" t="str">
        <f aca="false">IF(AND(ISNUMBER(G117),ISNUMBER(I117)),I117-G117,"")</f>
        <v/>
      </c>
    </row>
    <row r="118" customFormat="false" ht="15" hidden="false" customHeight="false" outlineLevel="0" collapsed="false">
      <c r="A118" s="29" t="s">
        <v>299</v>
      </c>
      <c r="B118" s="29" t="s">
        <v>198</v>
      </c>
      <c r="C118" s="29" t="s">
        <v>136</v>
      </c>
      <c r="D118" s="29" t="s">
        <v>276</v>
      </c>
      <c r="E118" s="29" t="n">
        <v>2</v>
      </c>
      <c r="F118" s="29" t="s">
        <v>277</v>
      </c>
      <c r="G118" s="30" t="n">
        <v>46213</v>
      </c>
      <c r="H118" s="30" t="n">
        <v>46223</v>
      </c>
      <c r="I118" s="30"/>
      <c r="J118" s="31" t="str">
        <f aca="false">IF(AND(ISNUMBER(H118),ISNUMBER(I118)),I118-H118,"")</f>
        <v/>
      </c>
      <c r="K118" s="31" t="str">
        <f aca="false">IF(AND(ISNUMBER(G118),ISNUMBER(I118)),I118-G118,"")</f>
        <v/>
      </c>
    </row>
    <row r="119" customFormat="false" ht="15" hidden="false" customHeight="false" outlineLevel="0" collapsed="false">
      <c r="A119" s="29" t="s">
        <v>300</v>
      </c>
      <c r="B119" s="29" t="s">
        <v>200</v>
      </c>
      <c r="C119" s="29" t="s">
        <v>119</v>
      </c>
      <c r="D119" s="29" t="s">
        <v>291</v>
      </c>
      <c r="E119" s="29" t="n">
        <v>5</v>
      </c>
      <c r="F119" s="29" t="s">
        <v>277</v>
      </c>
      <c r="G119" s="30" t="n">
        <v>46214</v>
      </c>
      <c r="H119" s="30" t="n">
        <v>46225</v>
      </c>
      <c r="I119" s="30"/>
      <c r="J119" s="31" t="str">
        <f aca="false">IF(AND(ISNUMBER(H119),ISNUMBER(I119)),I119-H119,"")</f>
        <v/>
      </c>
      <c r="K119" s="31" t="str">
        <f aca="false">IF(AND(ISNUMBER(G119),ISNUMBER(I119)),I119-G119,"")</f>
        <v/>
      </c>
    </row>
    <row r="120" customFormat="false" ht="15" hidden="false" customHeight="false" outlineLevel="0" collapsed="false">
      <c r="A120" s="29" t="s">
        <v>301</v>
      </c>
      <c r="B120" s="29" t="s">
        <v>302</v>
      </c>
      <c r="C120" s="29" t="s">
        <v>119</v>
      </c>
      <c r="D120" s="29" t="s">
        <v>239</v>
      </c>
      <c r="E120" s="29" t="n">
        <v>1</v>
      </c>
      <c r="F120" s="29" t="s">
        <v>277</v>
      </c>
      <c r="G120" s="30" t="n">
        <v>46218</v>
      </c>
      <c r="H120" s="30"/>
      <c r="I120" s="30"/>
      <c r="J120" s="31" t="str">
        <f aca="false">IF(AND(ISNUMBER(H120),ISNUMBER(I120)),I120-H120,"")</f>
        <v/>
      </c>
      <c r="K120" s="31" t="str">
        <f aca="false">IF(AND(ISNUMBER(G120),ISNUMBER(I120)),I120-G120,"")</f>
        <v/>
      </c>
    </row>
    <row r="121" customFormat="false" ht="15" hidden="false" customHeight="false" outlineLevel="0" collapsed="false">
      <c r="A121" s="29" t="s">
        <v>303</v>
      </c>
      <c r="B121" s="29" t="s">
        <v>141</v>
      </c>
      <c r="C121" s="29" t="s">
        <v>136</v>
      </c>
      <c r="D121" s="29" t="s">
        <v>239</v>
      </c>
      <c r="E121" s="29" t="n">
        <v>1</v>
      </c>
      <c r="F121" s="29" t="s">
        <v>240</v>
      </c>
      <c r="G121" s="30" t="n">
        <v>46218</v>
      </c>
      <c r="H121" s="30"/>
      <c r="I121" s="30"/>
      <c r="J121" s="31" t="str">
        <f aca="false">IF(AND(ISNUMBER(H121),ISNUMBER(I121)),I121-H121,"")</f>
        <v/>
      </c>
      <c r="K121" s="31" t="str">
        <f aca="false">IF(AND(ISNUMBER(G121),ISNUMBER(I121)),I121-G121,"")</f>
        <v/>
      </c>
    </row>
    <row r="122" customFormat="false" ht="15" hidden="false" customHeight="false" outlineLevel="0" collapsed="false">
      <c r="J122" s="31" t="str">
        <f aca="false">IF(AND(ISNUMBER(H122),ISNUMBER(I122)),I122-H122,"")</f>
        <v/>
      </c>
      <c r="K122" s="31" t="str">
        <f aca="false">IF(AND(ISNUMBER(G122),ISNUMBER(I122)),I122-G122,"")</f>
        <v/>
      </c>
    </row>
    <row r="123" customFormat="false" ht="15" hidden="false" customHeight="false" outlineLevel="0" collapsed="false">
      <c r="J123" s="31" t="str">
        <f aca="false">IF(AND(ISNUMBER(H123),ISNUMBER(I123)),I123-H123,"")</f>
        <v/>
      </c>
      <c r="K123" s="31" t="str">
        <f aca="false">IF(AND(ISNUMBER(G123),ISNUMBER(I123)),I123-G123,"")</f>
        <v/>
      </c>
    </row>
    <row r="124" customFormat="false" ht="15" hidden="false" customHeight="false" outlineLevel="0" collapsed="false">
      <c r="J124" s="31" t="str">
        <f aca="false">IF(AND(ISNUMBER(H124),ISNUMBER(I124)),I124-H124,"")</f>
        <v/>
      </c>
      <c r="K124" s="31" t="str">
        <f aca="false">IF(AND(ISNUMBER(G124),ISNUMBER(I124)),I124-G124,"")</f>
        <v/>
      </c>
    </row>
    <row r="125" customFormat="false" ht="15" hidden="false" customHeight="false" outlineLevel="0" collapsed="false">
      <c r="J125" s="31" t="str">
        <f aca="false">IF(AND(ISNUMBER(H125),ISNUMBER(I125)),I125-H125,"")</f>
        <v/>
      </c>
      <c r="K125" s="31" t="str">
        <f aca="false">IF(AND(ISNUMBER(G125),ISNUMBER(I125)),I125-G125,"")</f>
        <v/>
      </c>
    </row>
    <row r="126" customFormat="false" ht="15" hidden="false" customHeight="false" outlineLevel="0" collapsed="false">
      <c r="J126" s="31" t="str">
        <f aca="false">IF(AND(ISNUMBER(H126),ISNUMBER(I126)),I126-H126,"")</f>
        <v/>
      </c>
      <c r="K126" s="31" t="str">
        <f aca="false">IF(AND(ISNUMBER(G126),ISNUMBER(I126)),I126-G126,"")</f>
        <v/>
      </c>
    </row>
    <row r="127" customFormat="false" ht="15" hidden="false" customHeight="false" outlineLevel="0" collapsed="false">
      <c r="J127" s="31" t="str">
        <f aca="false">IF(AND(ISNUMBER(H127),ISNUMBER(I127)),I127-H127,"")</f>
        <v/>
      </c>
      <c r="K127" s="31" t="str">
        <f aca="false">IF(AND(ISNUMBER(G127),ISNUMBER(I127)),I127-G127,"")</f>
        <v/>
      </c>
    </row>
    <row r="128" customFormat="false" ht="15" hidden="false" customHeight="false" outlineLevel="0" collapsed="false">
      <c r="J128" s="31" t="str">
        <f aca="false">IF(AND(ISNUMBER(H128),ISNUMBER(I128)),I128-H128,"")</f>
        <v/>
      </c>
      <c r="K128" s="31" t="str">
        <f aca="false">IF(AND(ISNUMBER(G128),ISNUMBER(I128)),I128-G128,"")</f>
        <v/>
      </c>
    </row>
    <row r="129" customFormat="false" ht="15" hidden="false" customHeight="false" outlineLevel="0" collapsed="false">
      <c r="J129" s="31" t="str">
        <f aca="false">IF(AND(ISNUMBER(H129),ISNUMBER(I129)),I129-H129,"")</f>
        <v/>
      </c>
      <c r="K129" s="31" t="str">
        <f aca="false">IF(AND(ISNUMBER(G129),ISNUMBER(I129)),I129-G129,"")</f>
        <v/>
      </c>
    </row>
    <row r="130" customFormat="false" ht="15" hidden="false" customHeight="false" outlineLevel="0" collapsed="false">
      <c r="J130" s="31" t="str">
        <f aca="false">IF(AND(ISNUMBER(H130),ISNUMBER(I130)),I130-H130,"")</f>
        <v/>
      </c>
      <c r="K130" s="31" t="str">
        <f aca="false">IF(AND(ISNUMBER(G130),ISNUMBER(I130)),I130-G130,"")</f>
        <v/>
      </c>
    </row>
    <row r="131" customFormat="false" ht="15" hidden="false" customHeight="false" outlineLevel="0" collapsed="false">
      <c r="J131" s="31" t="str">
        <f aca="false">IF(AND(ISNUMBER(H131),ISNUMBER(I131)),I131-H131,"")</f>
        <v/>
      </c>
      <c r="K131" s="31" t="str">
        <f aca="false">IF(AND(ISNUMBER(G131),ISNUMBER(I131)),I131-G131,"")</f>
        <v/>
      </c>
    </row>
    <row r="132" customFormat="false" ht="15" hidden="false" customHeight="false" outlineLevel="0" collapsed="false">
      <c r="J132" s="31" t="str">
        <f aca="false">IF(AND(ISNUMBER(H132),ISNUMBER(I132)),I132-H132,"")</f>
        <v/>
      </c>
      <c r="K132" s="31" t="str">
        <f aca="false">IF(AND(ISNUMBER(G132),ISNUMBER(I132)),I132-G132,"")</f>
        <v/>
      </c>
    </row>
    <row r="133" customFormat="false" ht="15" hidden="false" customHeight="false" outlineLevel="0" collapsed="false">
      <c r="J133" s="31" t="str">
        <f aca="false">IF(AND(ISNUMBER(H133),ISNUMBER(I133)),I133-H133,"")</f>
        <v/>
      </c>
      <c r="K133" s="31" t="str">
        <f aca="false">IF(AND(ISNUMBER(G133),ISNUMBER(I133)),I133-G133,"")</f>
        <v/>
      </c>
    </row>
    <row r="134" customFormat="false" ht="15" hidden="false" customHeight="false" outlineLevel="0" collapsed="false">
      <c r="J134" s="31" t="str">
        <f aca="false">IF(AND(ISNUMBER(H134),ISNUMBER(I134)),I134-H134,"")</f>
        <v/>
      </c>
      <c r="K134" s="31" t="str">
        <f aca="false">IF(AND(ISNUMBER(G134),ISNUMBER(I134)),I134-G134,"")</f>
        <v/>
      </c>
    </row>
    <row r="135" customFormat="false" ht="15" hidden="false" customHeight="false" outlineLevel="0" collapsed="false">
      <c r="J135" s="31" t="str">
        <f aca="false">IF(AND(ISNUMBER(H135),ISNUMBER(I135)),I135-H135,"")</f>
        <v/>
      </c>
      <c r="K135" s="31" t="str">
        <f aca="false">IF(AND(ISNUMBER(G135),ISNUMBER(I135)),I135-G135,"")</f>
        <v/>
      </c>
    </row>
    <row r="136" customFormat="false" ht="15" hidden="false" customHeight="false" outlineLevel="0" collapsed="false">
      <c r="J136" s="31" t="str">
        <f aca="false">IF(AND(ISNUMBER(H136),ISNUMBER(I136)),I136-H136,"")</f>
        <v/>
      </c>
      <c r="K136" s="31" t="str">
        <f aca="false">IF(AND(ISNUMBER(G136),ISNUMBER(I136)),I136-G136,"")</f>
        <v/>
      </c>
    </row>
    <row r="137" customFormat="false" ht="15" hidden="false" customHeight="false" outlineLevel="0" collapsed="false">
      <c r="J137" s="31" t="str">
        <f aca="false">IF(AND(ISNUMBER(H137),ISNUMBER(I137)),I137-H137,"")</f>
        <v/>
      </c>
      <c r="K137" s="31" t="str">
        <f aca="false">IF(AND(ISNUMBER(G137),ISNUMBER(I137)),I137-G137,"")</f>
        <v/>
      </c>
    </row>
    <row r="138" customFormat="false" ht="15" hidden="false" customHeight="false" outlineLevel="0" collapsed="false">
      <c r="J138" s="31" t="str">
        <f aca="false">IF(AND(ISNUMBER(H138),ISNUMBER(I138)),I138-H138,"")</f>
        <v/>
      </c>
      <c r="K138" s="31" t="str">
        <f aca="false">IF(AND(ISNUMBER(G138),ISNUMBER(I138)),I138-G138,"")</f>
        <v/>
      </c>
    </row>
    <row r="139" customFormat="false" ht="15" hidden="false" customHeight="false" outlineLevel="0" collapsed="false">
      <c r="J139" s="31" t="str">
        <f aca="false">IF(AND(ISNUMBER(H139),ISNUMBER(I139)),I139-H139,"")</f>
        <v/>
      </c>
      <c r="K139" s="31" t="str">
        <f aca="false">IF(AND(ISNUMBER(G139),ISNUMBER(I139)),I139-G139,"")</f>
        <v/>
      </c>
    </row>
    <row r="140" customFormat="false" ht="15" hidden="false" customHeight="false" outlineLevel="0" collapsed="false">
      <c r="J140" s="31" t="str">
        <f aca="false">IF(AND(ISNUMBER(H140),ISNUMBER(I140)),I140-H140,"")</f>
        <v/>
      </c>
      <c r="K140" s="31" t="str">
        <f aca="false">IF(AND(ISNUMBER(G140),ISNUMBER(I140)),I140-G140,"")</f>
        <v/>
      </c>
    </row>
    <row r="141" customFormat="false" ht="15" hidden="false" customHeight="false" outlineLevel="0" collapsed="false">
      <c r="J141" s="31" t="str">
        <f aca="false">IF(AND(ISNUMBER(H141),ISNUMBER(I141)),I141-H141,"")</f>
        <v/>
      </c>
      <c r="K141" s="31" t="str">
        <f aca="false">IF(AND(ISNUMBER(G141),ISNUMBER(I141)),I141-G141,"")</f>
        <v/>
      </c>
    </row>
    <row r="142" customFormat="false" ht="15" hidden="false" customHeight="false" outlineLevel="0" collapsed="false">
      <c r="J142" s="31" t="str">
        <f aca="false">IF(AND(ISNUMBER(H142),ISNUMBER(I142)),I142-H142,"")</f>
        <v/>
      </c>
      <c r="K142" s="31" t="str">
        <f aca="false">IF(AND(ISNUMBER(G142),ISNUMBER(I142)),I142-G142,"")</f>
        <v/>
      </c>
    </row>
    <row r="143" customFormat="false" ht="15" hidden="false" customHeight="false" outlineLevel="0" collapsed="false">
      <c r="J143" s="31" t="str">
        <f aca="false">IF(AND(ISNUMBER(H143),ISNUMBER(I143)),I143-H143,"")</f>
        <v/>
      </c>
      <c r="K143" s="31" t="str">
        <f aca="false">IF(AND(ISNUMBER(G143),ISNUMBER(I143)),I143-G143,"")</f>
        <v/>
      </c>
    </row>
    <row r="144" customFormat="false" ht="15" hidden="false" customHeight="false" outlineLevel="0" collapsed="false">
      <c r="J144" s="31" t="str">
        <f aca="false">IF(AND(ISNUMBER(H144),ISNUMBER(I144)),I144-H144,"")</f>
        <v/>
      </c>
      <c r="K144" s="31" t="str">
        <f aca="false">IF(AND(ISNUMBER(G144),ISNUMBER(I144)),I144-G144,"")</f>
        <v/>
      </c>
    </row>
    <row r="145" customFormat="false" ht="15" hidden="false" customHeight="false" outlineLevel="0" collapsed="false">
      <c r="J145" s="31" t="str">
        <f aca="false">IF(AND(ISNUMBER(H145),ISNUMBER(I145)),I145-H145,"")</f>
        <v/>
      </c>
      <c r="K145" s="31" t="str">
        <f aca="false">IF(AND(ISNUMBER(G145),ISNUMBER(I145)),I145-G145,"")</f>
        <v/>
      </c>
    </row>
    <row r="146" customFormat="false" ht="15" hidden="false" customHeight="false" outlineLevel="0" collapsed="false">
      <c r="J146" s="31" t="str">
        <f aca="false">IF(AND(ISNUMBER(H146),ISNUMBER(I146)),I146-H146,"")</f>
        <v/>
      </c>
      <c r="K146" s="31" t="str">
        <f aca="false">IF(AND(ISNUMBER(G146),ISNUMBER(I146)),I146-G146,"")</f>
        <v/>
      </c>
    </row>
    <row r="147" customFormat="false" ht="15" hidden="false" customHeight="false" outlineLevel="0" collapsed="false">
      <c r="J147" s="31" t="str">
        <f aca="false">IF(AND(ISNUMBER(H147),ISNUMBER(I147)),I147-H147,"")</f>
        <v/>
      </c>
      <c r="K147" s="31" t="str">
        <f aca="false">IF(AND(ISNUMBER(G147),ISNUMBER(I147)),I147-G147,"")</f>
        <v/>
      </c>
    </row>
    <row r="148" customFormat="false" ht="15" hidden="false" customHeight="false" outlineLevel="0" collapsed="false">
      <c r="J148" s="31" t="str">
        <f aca="false">IF(AND(ISNUMBER(H148),ISNUMBER(I148)),I148-H148,"")</f>
        <v/>
      </c>
      <c r="K148" s="31" t="str">
        <f aca="false">IF(AND(ISNUMBER(G148),ISNUMBER(I148)),I148-G148,"")</f>
        <v/>
      </c>
    </row>
    <row r="149" customFormat="false" ht="15" hidden="false" customHeight="false" outlineLevel="0" collapsed="false">
      <c r="J149" s="31" t="str">
        <f aca="false">IF(AND(ISNUMBER(H149),ISNUMBER(I149)),I149-H149,"")</f>
        <v/>
      </c>
      <c r="K149" s="31" t="str">
        <f aca="false">IF(AND(ISNUMBER(G149),ISNUMBER(I149)),I149-G149,"")</f>
        <v/>
      </c>
    </row>
    <row r="150" customFormat="false" ht="15" hidden="false" customHeight="false" outlineLevel="0" collapsed="false">
      <c r="J150" s="31" t="str">
        <f aca="false">IF(AND(ISNUMBER(H150),ISNUMBER(I150)),I150-H150,"")</f>
        <v/>
      </c>
      <c r="K150" s="31" t="str">
        <f aca="false">IF(AND(ISNUMBER(G150),ISNUMBER(I150)),I150-G150,"")</f>
        <v/>
      </c>
    </row>
    <row r="151" customFormat="false" ht="15" hidden="false" customHeight="false" outlineLevel="0" collapsed="false">
      <c r="J151" s="31" t="str">
        <f aca="false">IF(AND(ISNUMBER(H151),ISNUMBER(I151)),I151-H151,"")</f>
        <v/>
      </c>
      <c r="K151" s="31" t="str">
        <f aca="false">IF(AND(ISNUMBER(G151),ISNUMBER(I151)),I151-G151,"")</f>
        <v/>
      </c>
    </row>
    <row r="152" customFormat="false" ht="15" hidden="false" customHeight="false" outlineLevel="0" collapsed="false">
      <c r="J152" s="31" t="str">
        <f aca="false">IF(AND(ISNUMBER(H152),ISNUMBER(I152)),I152-H152,"")</f>
        <v/>
      </c>
      <c r="K152" s="31" t="str">
        <f aca="false">IF(AND(ISNUMBER(G152),ISNUMBER(I152)),I152-G152,"")</f>
        <v/>
      </c>
    </row>
    <row r="153" customFormat="false" ht="15" hidden="false" customHeight="false" outlineLevel="0" collapsed="false">
      <c r="J153" s="31" t="str">
        <f aca="false">IF(AND(ISNUMBER(H153),ISNUMBER(I153)),I153-H153,"")</f>
        <v/>
      </c>
      <c r="K153" s="31" t="str">
        <f aca="false">IF(AND(ISNUMBER(G153),ISNUMBER(I153)),I153-G153,"")</f>
        <v/>
      </c>
    </row>
    <row r="154" customFormat="false" ht="15" hidden="false" customHeight="false" outlineLevel="0" collapsed="false">
      <c r="J154" s="31" t="str">
        <f aca="false">IF(AND(ISNUMBER(H154),ISNUMBER(I154)),I154-H154,"")</f>
        <v/>
      </c>
      <c r="K154" s="31" t="str">
        <f aca="false">IF(AND(ISNUMBER(G154),ISNUMBER(I154)),I154-G154,"")</f>
        <v/>
      </c>
    </row>
    <row r="155" customFormat="false" ht="15" hidden="false" customHeight="false" outlineLevel="0" collapsed="false">
      <c r="J155" s="31" t="str">
        <f aca="false">IF(AND(ISNUMBER(H155),ISNUMBER(I155)),I155-H155,"")</f>
        <v/>
      </c>
      <c r="K155" s="31" t="str">
        <f aca="false">IF(AND(ISNUMBER(G155),ISNUMBER(I155)),I155-G155,"")</f>
        <v/>
      </c>
    </row>
    <row r="156" customFormat="false" ht="15" hidden="false" customHeight="false" outlineLevel="0" collapsed="false">
      <c r="J156" s="31" t="str">
        <f aca="false">IF(AND(ISNUMBER(H156),ISNUMBER(I156)),I156-H156,"")</f>
        <v/>
      </c>
      <c r="K156" s="31" t="str">
        <f aca="false">IF(AND(ISNUMBER(G156),ISNUMBER(I156)),I156-G156,"")</f>
        <v/>
      </c>
    </row>
    <row r="157" customFormat="false" ht="15" hidden="false" customHeight="false" outlineLevel="0" collapsed="false">
      <c r="J157" s="31" t="str">
        <f aca="false">IF(AND(ISNUMBER(H157),ISNUMBER(I157)),I157-H157,"")</f>
        <v/>
      </c>
      <c r="K157" s="31" t="str">
        <f aca="false">IF(AND(ISNUMBER(G157),ISNUMBER(I157)),I157-G157,"")</f>
        <v/>
      </c>
    </row>
    <row r="158" customFormat="false" ht="15" hidden="false" customHeight="false" outlineLevel="0" collapsed="false">
      <c r="J158" s="31" t="str">
        <f aca="false">IF(AND(ISNUMBER(H158),ISNUMBER(I158)),I158-H158,"")</f>
        <v/>
      </c>
      <c r="K158" s="31" t="str">
        <f aca="false">IF(AND(ISNUMBER(G158),ISNUMBER(I158)),I158-G158,"")</f>
        <v/>
      </c>
    </row>
    <row r="159" customFormat="false" ht="15" hidden="false" customHeight="false" outlineLevel="0" collapsed="false">
      <c r="J159" s="31" t="str">
        <f aca="false">IF(AND(ISNUMBER(H159),ISNUMBER(I159)),I159-H159,"")</f>
        <v/>
      </c>
      <c r="K159" s="31" t="str">
        <f aca="false">IF(AND(ISNUMBER(G159),ISNUMBER(I159)),I159-G159,"")</f>
        <v/>
      </c>
    </row>
    <row r="160" customFormat="false" ht="15" hidden="false" customHeight="false" outlineLevel="0" collapsed="false">
      <c r="J160" s="31" t="str">
        <f aca="false">IF(AND(ISNUMBER(H160),ISNUMBER(I160)),I160-H160,"")</f>
        <v/>
      </c>
      <c r="K160" s="31" t="str">
        <f aca="false">IF(AND(ISNUMBER(G160),ISNUMBER(I160)),I160-G160,"")</f>
        <v/>
      </c>
    </row>
    <row r="161" customFormat="false" ht="15" hidden="false" customHeight="false" outlineLevel="0" collapsed="false">
      <c r="J161" s="31" t="str">
        <f aca="false">IF(AND(ISNUMBER(H161),ISNUMBER(I161)),I161-H161,"")</f>
        <v/>
      </c>
      <c r="K161" s="31" t="str">
        <f aca="false">IF(AND(ISNUMBER(G161),ISNUMBER(I161)),I161-G161,"")</f>
        <v/>
      </c>
    </row>
    <row r="162" customFormat="false" ht="15" hidden="false" customHeight="false" outlineLevel="0" collapsed="false">
      <c r="J162" s="31" t="str">
        <f aca="false">IF(AND(ISNUMBER(H162),ISNUMBER(I162)),I162-H162,"")</f>
        <v/>
      </c>
      <c r="K162" s="31" t="str">
        <f aca="false">IF(AND(ISNUMBER(G162),ISNUMBER(I162)),I162-G162,"")</f>
        <v/>
      </c>
    </row>
    <row r="163" customFormat="false" ht="15" hidden="false" customHeight="false" outlineLevel="0" collapsed="false">
      <c r="J163" s="31" t="str">
        <f aca="false">IF(AND(ISNUMBER(H163),ISNUMBER(I163)),I163-H163,"")</f>
        <v/>
      </c>
      <c r="K163" s="31" t="str">
        <f aca="false">IF(AND(ISNUMBER(G163),ISNUMBER(I163)),I163-G163,"")</f>
        <v/>
      </c>
    </row>
    <row r="164" customFormat="false" ht="15" hidden="false" customHeight="false" outlineLevel="0" collapsed="false">
      <c r="J164" s="31" t="str">
        <f aca="false">IF(AND(ISNUMBER(H164),ISNUMBER(I164)),I164-H164,"")</f>
        <v/>
      </c>
      <c r="K164" s="31" t="str">
        <f aca="false">IF(AND(ISNUMBER(G164),ISNUMBER(I164)),I164-G164,"")</f>
        <v/>
      </c>
    </row>
    <row r="165" customFormat="false" ht="15" hidden="false" customHeight="false" outlineLevel="0" collapsed="false">
      <c r="J165" s="31" t="str">
        <f aca="false">IF(AND(ISNUMBER(H165),ISNUMBER(I165)),I165-H165,"")</f>
        <v/>
      </c>
      <c r="K165" s="31" t="str">
        <f aca="false">IF(AND(ISNUMBER(G165),ISNUMBER(I165)),I165-G165,"")</f>
        <v/>
      </c>
    </row>
    <row r="166" customFormat="false" ht="15" hidden="false" customHeight="false" outlineLevel="0" collapsed="false">
      <c r="J166" s="31" t="str">
        <f aca="false">IF(AND(ISNUMBER(H166),ISNUMBER(I166)),I166-H166,"")</f>
        <v/>
      </c>
      <c r="K166" s="31" t="str">
        <f aca="false">IF(AND(ISNUMBER(G166),ISNUMBER(I166)),I166-G166,"")</f>
        <v/>
      </c>
    </row>
    <row r="167" customFormat="false" ht="15" hidden="false" customHeight="false" outlineLevel="0" collapsed="false">
      <c r="J167" s="31" t="str">
        <f aca="false">IF(AND(ISNUMBER(H167),ISNUMBER(I167)),I167-H167,"")</f>
        <v/>
      </c>
      <c r="K167" s="31" t="str">
        <f aca="false">IF(AND(ISNUMBER(G167),ISNUMBER(I167)),I167-G167,"")</f>
        <v/>
      </c>
    </row>
    <row r="168" customFormat="false" ht="15" hidden="false" customHeight="false" outlineLevel="0" collapsed="false">
      <c r="J168" s="31" t="str">
        <f aca="false">IF(AND(ISNUMBER(H168),ISNUMBER(I168)),I168-H168,"")</f>
        <v/>
      </c>
      <c r="K168" s="31" t="str">
        <f aca="false">IF(AND(ISNUMBER(G168),ISNUMBER(I168)),I168-G168,"")</f>
        <v/>
      </c>
    </row>
    <row r="169" customFormat="false" ht="15" hidden="false" customHeight="false" outlineLevel="0" collapsed="false">
      <c r="J169" s="31" t="str">
        <f aca="false">IF(AND(ISNUMBER(H169),ISNUMBER(I169)),I169-H169,"")</f>
        <v/>
      </c>
      <c r="K169" s="31" t="str">
        <f aca="false">IF(AND(ISNUMBER(G169),ISNUMBER(I169)),I169-G169,"")</f>
        <v/>
      </c>
    </row>
    <row r="170" customFormat="false" ht="15" hidden="false" customHeight="false" outlineLevel="0" collapsed="false">
      <c r="J170" s="31" t="str">
        <f aca="false">IF(AND(ISNUMBER(H170),ISNUMBER(I170)),I170-H170,"")</f>
        <v/>
      </c>
      <c r="K170" s="31" t="str">
        <f aca="false">IF(AND(ISNUMBER(G170),ISNUMBER(I170)),I170-G170,"")</f>
        <v/>
      </c>
    </row>
    <row r="171" customFormat="false" ht="15" hidden="false" customHeight="false" outlineLevel="0" collapsed="false">
      <c r="J171" s="31" t="str">
        <f aca="false">IF(AND(ISNUMBER(H171),ISNUMBER(I171)),I171-H171,"")</f>
        <v/>
      </c>
      <c r="K171" s="31" t="str">
        <f aca="false">IF(AND(ISNUMBER(G171),ISNUMBER(I171)),I171-G171,"")</f>
        <v/>
      </c>
    </row>
    <row r="172" customFormat="false" ht="15" hidden="false" customHeight="false" outlineLevel="0" collapsed="false">
      <c r="J172" s="31" t="str">
        <f aca="false">IF(AND(ISNUMBER(H172),ISNUMBER(I172)),I172-H172,"")</f>
        <v/>
      </c>
      <c r="K172" s="31" t="str">
        <f aca="false">IF(AND(ISNUMBER(G172),ISNUMBER(I172)),I172-G172,"")</f>
        <v/>
      </c>
    </row>
    <row r="173" customFormat="false" ht="15" hidden="false" customHeight="false" outlineLevel="0" collapsed="false">
      <c r="J173" s="31" t="str">
        <f aca="false">IF(AND(ISNUMBER(H173),ISNUMBER(I173)),I173-H173,"")</f>
        <v/>
      </c>
      <c r="K173" s="31" t="str">
        <f aca="false">IF(AND(ISNUMBER(G173),ISNUMBER(I173)),I173-G173,"")</f>
        <v/>
      </c>
    </row>
    <row r="174" customFormat="false" ht="15" hidden="false" customHeight="false" outlineLevel="0" collapsed="false">
      <c r="J174" s="31" t="str">
        <f aca="false">IF(AND(ISNUMBER(H174),ISNUMBER(I174)),I174-H174,"")</f>
        <v/>
      </c>
      <c r="K174" s="31" t="str">
        <f aca="false">IF(AND(ISNUMBER(G174),ISNUMBER(I174)),I174-G174,"")</f>
        <v/>
      </c>
    </row>
    <row r="175" customFormat="false" ht="15" hidden="false" customHeight="false" outlineLevel="0" collapsed="false">
      <c r="J175" s="31" t="str">
        <f aca="false">IF(AND(ISNUMBER(H175),ISNUMBER(I175)),I175-H175,"")</f>
        <v/>
      </c>
      <c r="K175" s="31" t="str">
        <f aca="false">IF(AND(ISNUMBER(G175),ISNUMBER(I175)),I175-G175,"")</f>
        <v/>
      </c>
    </row>
    <row r="176" customFormat="false" ht="15" hidden="false" customHeight="false" outlineLevel="0" collapsed="false">
      <c r="J176" s="31" t="str">
        <f aca="false">IF(AND(ISNUMBER(H176),ISNUMBER(I176)),I176-H176,"")</f>
        <v/>
      </c>
      <c r="K176" s="31" t="str">
        <f aca="false">IF(AND(ISNUMBER(G176),ISNUMBER(I176)),I176-G176,"")</f>
        <v/>
      </c>
    </row>
    <row r="177" customFormat="false" ht="15" hidden="false" customHeight="false" outlineLevel="0" collapsed="false">
      <c r="J177" s="31" t="str">
        <f aca="false">IF(AND(ISNUMBER(H177),ISNUMBER(I177)),I177-H177,"")</f>
        <v/>
      </c>
      <c r="K177" s="31" t="str">
        <f aca="false">IF(AND(ISNUMBER(G177),ISNUMBER(I177)),I177-G177,"")</f>
        <v/>
      </c>
    </row>
    <row r="178" customFormat="false" ht="15" hidden="false" customHeight="false" outlineLevel="0" collapsed="false">
      <c r="J178" s="31" t="str">
        <f aca="false">IF(AND(ISNUMBER(H178),ISNUMBER(I178)),I178-H178,"")</f>
        <v/>
      </c>
      <c r="K178" s="31" t="str">
        <f aca="false">IF(AND(ISNUMBER(G178),ISNUMBER(I178)),I178-G178,"")</f>
        <v/>
      </c>
    </row>
    <row r="179" customFormat="false" ht="15" hidden="false" customHeight="false" outlineLevel="0" collapsed="false">
      <c r="J179" s="31" t="str">
        <f aca="false">IF(AND(ISNUMBER(H179),ISNUMBER(I179)),I179-H179,"")</f>
        <v/>
      </c>
      <c r="K179" s="31" t="str">
        <f aca="false">IF(AND(ISNUMBER(G179),ISNUMBER(I179)),I179-G179,"")</f>
        <v/>
      </c>
    </row>
    <row r="180" customFormat="false" ht="15" hidden="false" customHeight="false" outlineLevel="0" collapsed="false">
      <c r="J180" s="31" t="str">
        <f aca="false">IF(AND(ISNUMBER(H180),ISNUMBER(I180)),I180-H180,"")</f>
        <v/>
      </c>
      <c r="K180" s="31" t="str">
        <f aca="false">IF(AND(ISNUMBER(G180),ISNUMBER(I180)),I180-G180,"")</f>
        <v/>
      </c>
    </row>
    <row r="181" customFormat="false" ht="15" hidden="false" customHeight="false" outlineLevel="0" collapsed="false">
      <c r="J181" s="31" t="str">
        <f aca="false">IF(AND(ISNUMBER(H181),ISNUMBER(I181)),I181-H181,"")</f>
        <v/>
      </c>
      <c r="K181" s="31" t="str">
        <f aca="false">IF(AND(ISNUMBER(G181),ISNUMBER(I181)),I181-G181,"")</f>
        <v/>
      </c>
    </row>
    <row r="182" customFormat="false" ht="15" hidden="false" customHeight="false" outlineLevel="0" collapsed="false">
      <c r="J182" s="31" t="str">
        <f aca="false">IF(AND(ISNUMBER(H182),ISNUMBER(I182)),I182-H182,"")</f>
        <v/>
      </c>
      <c r="K182" s="31" t="str">
        <f aca="false">IF(AND(ISNUMBER(G182),ISNUMBER(I182)),I182-G182,"")</f>
        <v/>
      </c>
    </row>
    <row r="183" customFormat="false" ht="15" hidden="false" customHeight="false" outlineLevel="0" collapsed="false">
      <c r="J183" s="31" t="str">
        <f aca="false">IF(AND(ISNUMBER(H183),ISNUMBER(I183)),I183-H183,"")</f>
        <v/>
      </c>
      <c r="K183" s="31" t="str">
        <f aca="false">IF(AND(ISNUMBER(G183),ISNUMBER(I183)),I183-G183,"")</f>
        <v/>
      </c>
    </row>
    <row r="184" customFormat="false" ht="15" hidden="false" customHeight="false" outlineLevel="0" collapsed="false">
      <c r="J184" s="31" t="str">
        <f aca="false">IF(AND(ISNUMBER(H184),ISNUMBER(I184)),I184-H184,"")</f>
        <v/>
      </c>
      <c r="K184" s="31" t="str">
        <f aca="false">IF(AND(ISNUMBER(G184),ISNUMBER(I184)),I184-G184,"")</f>
        <v/>
      </c>
    </row>
    <row r="185" customFormat="false" ht="15" hidden="false" customHeight="false" outlineLevel="0" collapsed="false">
      <c r="J185" s="31" t="str">
        <f aca="false">IF(AND(ISNUMBER(H185),ISNUMBER(I185)),I185-H185,"")</f>
        <v/>
      </c>
      <c r="K185" s="31" t="str">
        <f aca="false">IF(AND(ISNUMBER(G185),ISNUMBER(I185)),I185-G185,"")</f>
        <v/>
      </c>
    </row>
    <row r="186" customFormat="false" ht="15" hidden="false" customHeight="false" outlineLevel="0" collapsed="false">
      <c r="J186" s="31" t="str">
        <f aca="false">IF(AND(ISNUMBER(H186),ISNUMBER(I186)),I186-H186,"")</f>
        <v/>
      </c>
      <c r="K186" s="31" t="str">
        <f aca="false">IF(AND(ISNUMBER(G186),ISNUMBER(I186)),I186-G186,"")</f>
        <v/>
      </c>
    </row>
    <row r="187" customFormat="false" ht="15" hidden="false" customHeight="false" outlineLevel="0" collapsed="false">
      <c r="J187" s="31" t="str">
        <f aca="false">IF(AND(ISNUMBER(H187),ISNUMBER(I187)),I187-H187,"")</f>
        <v/>
      </c>
      <c r="K187" s="31" t="str">
        <f aca="false">IF(AND(ISNUMBER(G187),ISNUMBER(I187)),I187-G187,"")</f>
        <v/>
      </c>
    </row>
    <row r="188" customFormat="false" ht="15" hidden="false" customHeight="false" outlineLevel="0" collapsed="false">
      <c r="J188" s="31" t="str">
        <f aca="false">IF(AND(ISNUMBER(H188),ISNUMBER(I188)),I188-H188,"")</f>
        <v/>
      </c>
      <c r="K188" s="31" t="str">
        <f aca="false">IF(AND(ISNUMBER(G188),ISNUMBER(I188)),I188-G188,"")</f>
        <v/>
      </c>
    </row>
    <row r="189" customFormat="false" ht="15" hidden="false" customHeight="false" outlineLevel="0" collapsed="false">
      <c r="J189" s="31" t="str">
        <f aca="false">IF(AND(ISNUMBER(H189),ISNUMBER(I189)),I189-H189,"")</f>
        <v/>
      </c>
      <c r="K189" s="31" t="str">
        <f aca="false">IF(AND(ISNUMBER(G189),ISNUMBER(I189)),I189-G189,"")</f>
        <v/>
      </c>
    </row>
    <row r="190" customFormat="false" ht="15" hidden="false" customHeight="false" outlineLevel="0" collapsed="false">
      <c r="J190" s="31" t="str">
        <f aca="false">IF(AND(ISNUMBER(H190),ISNUMBER(I190)),I190-H190,"")</f>
        <v/>
      </c>
      <c r="K190" s="31" t="str">
        <f aca="false">IF(AND(ISNUMBER(G190),ISNUMBER(I190)),I190-G190,"")</f>
        <v/>
      </c>
    </row>
    <row r="191" customFormat="false" ht="15" hidden="false" customHeight="false" outlineLevel="0" collapsed="false">
      <c r="J191" s="31" t="str">
        <f aca="false">IF(AND(ISNUMBER(H191),ISNUMBER(I191)),I191-H191,"")</f>
        <v/>
      </c>
      <c r="K191" s="31" t="str">
        <f aca="false">IF(AND(ISNUMBER(G191),ISNUMBER(I191)),I191-G191,"")</f>
        <v/>
      </c>
    </row>
    <row r="192" customFormat="false" ht="15" hidden="false" customHeight="false" outlineLevel="0" collapsed="false">
      <c r="J192" s="31" t="str">
        <f aca="false">IF(AND(ISNUMBER(H192),ISNUMBER(I192)),I192-H192,"")</f>
        <v/>
      </c>
      <c r="K192" s="31" t="str">
        <f aca="false">IF(AND(ISNUMBER(G192),ISNUMBER(I192)),I192-G192,"")</f>
        <v/>
      </c>
    </row>
    <row r="193" customFormat="false" ht="15" hidden="false" customHeight="false" outlineLevel="0" collapsed="false">
      <c r="J193" s="31" t="str">
        <f aca="false">IF(AND(ISNUMBER(H193),ISNUMBER(I193)),I193-H193,"")</f>
        <v/>
      </c>
      <c r="K193" s="31" t="str">
        <f aca="false">IF(AND(ISNUMBER(G193),ISNUMBER(I193)),I193-G193,"")</f>
        <v/>
      </c>
    </row>
    <row r="194" customFormat="false" ht="15" hidden="false" customHeight="false" outlineLevel="0" collapsed="false">
      <c r="J194" s="31" t="str">
        <f aca="false">IF(AND(ISNUMBER(H194),ISNUMBER(I194)),I194-H194,"")</f>
        <v/>
      </c>
      <c r="K194" s="31" t="str">
        <f aca="false">IF(AND(ISNUMBER(G194),ISNUMBER(I194)),I194-G194,"")</f>
        <v/>
      </c>
    </row>
    <row r="195" customFormat="false" ht="15" hidden="false" customHeight="false" outlineLevel="0" collapsed="false">
      <c r="J195" s="31" t="str">
        <f aca="false">IF(AND(ISNUMBER(H195),ISNUMBER(I195)),I195-H195,"")</f>
        <v/>
      </c>
      <c r="K195" s="31" t="str">
        <f aca="false">IF(AND(ISNUMBER(G195),ISNUMBER(I195)),I195-G195,"")</f>
        <v/>
      </c>
    </row>
    <row r="196" customFormat="false" ht="15" hidden="false" customHeight="false" outlineLevel="0" collapsed="false">
      <c r="J196" s="31" t="str">
        <f aca="false">IF(AND(ISNUMBER(H196),ISNUMBER(I196)),I196-H196,"")</f>
        <v/>
      </c>
      <c r="K196" s="31" t="str">
        <f aca="false">IF(AND(ISNUMBER(G196),ISNUMBER(I196)),I196-G196,"")</f>
        <v/>
      </c>
    </row>
    <row r="197" customFormat="false" ht="15" hidden="false" customHeight="false" outlineLevel="0" collapsed="false">
      <c r="J197" s="31" t="str">
        <f aca="false">IF(AND(ISNUMBER(H197),ISNUMBER(I197)),I197-H197,"")</f>
        <v/>
      </c>
      <c r="K197" s="31" t="str">
        <f aca="false">IF(AND(ISNUMBER(G197),ISNUMBER(I197)),I197-G197,"")</f>
        <v/>
      </c>
    </row>
    <row r="198" customFormat="false" ht="15" hidden="false" customHeight="false" outlineLevel="0" collapsed="false">
      <c r="J198" s="31" t="str">
        <f aca="false">IF(AND(ISNUMBER(H198),ISNUMBER(I198)),I198-H198,"")</f>
        <v/>
      </c>
      <c r="K198" s="31" t="str">
        <f aca="false">IF(AND(ISNUMBER(G198),ISNUMBER(I198)),I198-G198,"")</f>
        <v/>
      </c>
    </row>
    <row r="199" customFormat="false" ht="15" hidden="false" customHeight="false" outlineLevel="0" collapsed="false">
      <c r="J199" s="31" t="str">
        <f aca="false">IF(AND(ISNUMBER(H199),ISNUMBER(I199)),I199-H199,"")</f>
        <v/>
      </c>
      <c r="K199" s="31" t="str">
        <f aca="false">IF(AND(ISNUMBER(G199),ISNUMBER(I199)),I199-G199,"")</f>
        <v/>
      </c>
    </row>
    <row r="200" customFormat="false" ht="15" hidden="false" customHeight="false" outlineLevel="0" collapsed="false">
      <c r="J200" s="31" t="str">
        <f aca="false">IF(AND(ISNUMBER(H200),ISNUMBER(I200)),I200-H200,"")</f>
        <v/>
      </c>
      <c r="K200" s="31" t="str">
        <f aca="false">IF(AND(ISNUMBER(G200),ISNUMBER(I200)),I200-G200,"")</f>
        <v/>
      </c>
    </row>
    <row r="201" customFormat="false" ht="15" hidden="false" customHeight="false" outlineLevel="0" collapsed="false">
      <c r="J201" s="31" t="str">
        <f aca="false">IF(AND(ISNUMBER(H201),ISNUMBER(I201)),I201-H201,"")</f>
        <v/>
      </c>
      <c r="K201" s="31" t="str">
        <f aca="false">IF(AND(ISNUMBER(G201),ISNUMBER(I201)),I201-G201,"")</f>
        <v/>
      </c>
    </row>
    <row r="202" customFormat="false" ht="15" hidden="false" customHeight="false" outlineLevel="0" collapsed="false">
      <c r="J202" s="31" t="str">
        <f aca="false">IF(AND(ISNUMBER(H202),ISNUMBER(I202)),I202-H202,"")</f>
        <v/>
      </c>
      <c r="K202" s="31" t="str">
        <f aca="false">IF(AND(ISNUMBER(G202),ISNUMBER(I202)),I202-G202,"")</f>
        <v/>
      </c>
    </row>
    <row r="203" customFormat="false" ht="15" hidden="false" customHeight="false" outlineLevel="0" collapsed="false">
      <c r="J203" s="31" t="str">
        <f aca="false">IF(AND(ISNUMBER(H203),ISNUMBER(I203)),I203-H203,"")</f>
        <v/>
      </c>
      <c r="K203" s="31" t="str">
        <f aca="false">IF(AND(ISNUMBER(G203),ISNUMBER(I203)),I203-G203,"")</f>
        <v/>
      </c>
    </row>
    <row r="204" customFormat="false" ht="15" hidden="false" customHeight="false" outlineLevel="0" collapsed="false">
      <c r="J204" s="31" t="str">
        <f aca="false">IF(AND(ISNUMBER(H204),ISNUMBER(I204)),I204-H204,"")</f>
        <v/>
      </c>
      <c r="K204" s="31" t="str">
        <f aca="false">IF(AND(ISNUMBER(G204),ISNUMBER(I204)),I204-G204,"")</f>
        <v/>
      </c>
    </row>
    <row r="205" customFormat="false" ht="15" hidden="false" customHeight="false" outlineLevel="0" collapsed="false">
      <c r="J205" s="31" t="str">
        <f aca="false">IF(AND(ISNUMBER(H205),ISNUMBER(I205)),I205-H205,"")</f>
        <v/>
      </c>
      <c r="K205" s="31" t="str">
        <f aca="false">IF(AND(ISNUMBER(G205),ISNUMBER(I205)),I205-G205,"")</f>
        <v/>
      </c>
    </row>
    <row r="206" customFormat="false" ht="15" hidden="false" customHeight="false" outlineLevel="0" collapsed="false">
      <c r="J206" s="31" t="str">
        <f aca="false">IF(AND(ISNUMBER(H206),ISNUMBER(I206)),I206-H206,"")</f>
        <v/>
      </c>
      <c r="K206" s="31" t="str">
        <f aca="false">IF(AND(ISNUMBER(G206),ISNUMBER(I206)),I206-G206,"")</f>
        <v/>
      </c>
    </row>
    <row r="207" customFormat="false" ht="15" hidden="false" customHeight="false" outlineLevel="0" collapsed="false">
      <c r="J207" s="31" t="str">
        <f aca="false">IF(AND(ISNUMBER(H207),ISNUMBER(I207)),I207-H207,"")</f>
        <v/>
      </c>
      <c r="K207" s="31" t="str">
        <f aca="false">IF(AND(ISNUMBER(G207),ISNUMBER(I207)),I207-G207,"")</f>
        <v/>
      </c>
    </row>
    <row r="208" customFormat="false" ht="15" hidden="false" customHeight="false" outlineLevel="0" collapsed="false">
      <c r="J208" s="31" t="str">
        <f aca="false">IF(AND(ISNUMBER(H208),ISNUMBER(I208)),I208-H208,"")</f>
        <v/>
      </c>
      <c r="K208" s="31" t="str">
        <f aca="false">IF(AND(ISNUMBER(G208),ISNUMBER(I208)),I208-G208,"")</f>
        <v/>
      </c>
    </row>
    <row r="209" customFormat="false" ht="15" hidden="false" customHeight="false" outlineLevel="0" collapsed="false">
      <c r="J209" s="31" t="str">
        <f aca="false">IF(AND(ISNUMBER(H209),ISNUMBER(I209)),I209-H209,"")</f>
        <v/>
      </c>
      <c r="K209" s="31" t="str">
        <f aca="false">IF(AND(ISNUMBER(G209),ISNUMBER(I209)),I209-G209,"")</f>
        <v/>
      </c>
    </row>
    <row r="210" customFormat="false" ht="15" hidden="false" customHeight="false" outlineLevel="0" collapsed="false">
      <c r="J210" s="31" t="str">
        <f aca="false">IF(AND(ISNUMBER(H210),ISNUMBER(I210)),I210-H210,"")</f>
        <v/>
      </c>
      <c r="K210" s="31" t="str">
        <f aca="false">IF(AND(ISNUMBER(G210),ISNUMBER(I210)),I210-G210,"")</f>
        <v/>
      </c>
    </row>
    <row r="211" customFormat="false" ht="15" hidden="false" customHeight="false" outlineLevel="0" collapsed="false">
      <c r="J211" s="31" t="str">
        <f aca="false">IF(AND(ISNUMBER(H211),ISNUMBER(I211)),I211-H211,"")</f>
        <v/>
      </c>
      <c r="K211" s="31" t="str">
        <f aca="false">IF(AND(ISNUMBER(G211),ISNUMBER(I211)),I211-G211,"")</f>
        <v/>
      </c>
    </row>
    <row r="212" customFormat="false" ht="15" hidden="false" customHeight="false" outlineLevel="0" collapsed="false">
      <c r="J212" s="31" t="str">
        <f aca="false">IF(AND(ISNUMBER(H212),ISNUMBER(I212)),I212-H212,"")</f>
        <v/>
      </c>
      <c r="K212" s="31" t="str">
        <f aca="false">IF(AND(ISNUMBER(G212),ISNUMBER(I212)),I212-G212,"")</f>
        <v/>
      </c>
    </row>
    <row r="213" customFormat="false" ht="15" hidden="false" customHeight="false" outlineLevel="0" collapsed="false">
      <c r="J213" s="31" t="str">
        <f aca="false">IF(AND(ISNUMBER(H213),ISNUMBER(I213)),I213-H213,"")</f>
        <v/>
      </c>
      <c r="K213" s="31" t="str">
        <f aca="false">IF(AND(ISNUMBER(G213),ISNUMBER(I213)),I213-G213,"")</f>
        <v/>
      </c>
    </row>
    <row r="214" customFormat="false" ht="15" hidden="false" customHeight="false" outlineLevel="0" collapsed="false">
      <c r="J214" s="31" t="str">
        <f aca="false">IF(AND(ISNUMBER(H214),ISNUMBER(I214)),I214-H214,"")</f>
        <v/>
      </c>
      <c r="K214" s="31" t="str">
        <f aca="false">IF(AND(ISNUMBER(G214),ISNUMBER(I214)),I214-G214,"")</f>
        <v/>
      </c>
    </row>
    <row r="215" customFormat="false" ht="15" hidden="false" customHeight="false" outlineLevel="0" collapsed="false">
      <c r="J215" s="31" t="str">
        <f aca="false">IF(AND(ISNUMBER(H215),ISNUMBER(I215)),I215-H215,"")</f>
        <v/>
      </c>
      <c r="K215" s="31" t="str">
        <f aca="false">IF(AND(ISNUMBER(G215),ISNUMBER(I215)),I215-G215,"")</f>
        <v/>
      </c>
    </row>
    <row r="216" customFormat="false" ht="15" hidden="false" customHeight="false" outlineLevel="0" collapsed="false">
      <c r="J216" s="31" t="str">
        <f aca="false">IF(AND(ISNUMBER(H216),ISNUMBER(I216)),I216-H216,"")</f>
        <v/>
      </c>
      <c r="K216" s="31" t="str">
        <f aca="false">IF(AND(ISNUMBER(G216),ISNUMBER(I216)),I216-G216,"")</f>
        <v/>
      </c>
    </row>
    <row r="217" customFormat="false" ht="15" hidden="false" customHeight="false" outlineLevel="0" collapsed="false">
      <c r="J217" s="31" t="str">
        <f aca="false">IF(AND(ISNUMBER(H217),ISNUMBER(I217)),I217-H217,"")</f>
        <v/>
      </c>
      <c r="K217" s="31" t="str">
        <f aca="false">IF(AND(ISNUMBER(G217),ISNUMBER(I217)),I217-G217,"")</f>
        <v/>
      </c>
    </row>
    <row r="218" customFormat="false" ht="15" hidden="false" customHeight="false" outlineLevel="0" collapsed="false">
      <c r="J218" s="31" t="str">
        <f aca="false">IF(AND(ISNUMBER(H218),ISNUMBER(I218)),I218-H218,"")</f>
        <v/>
      </c>
      <c r="K218" s="31" t="str">
        <f aca="false">IF(AND(ISNUMBER(G218),ISNUMBER(I218)),I218-G218,"")</f>
        <v/>
      </c>
    </row>
    <row r="219" customFormat="false" ht="15" hidden="false" customHeight="false" outlineLevel="0" collapsed="false">
      <c r="J219" s="31" t="str">
        <f aca="false">IF(AND(ISNUMBER(H219),ISNUMBER(I219)),I219-H219,"")</f>
        <v/>
      </c>
      <c r="K219" s="31" t="str">
        <f aca="false">IF(AND(ISNUMBER(G219),ISNUMBER(I219)),I219-G219,"")</f>
        <v/>
      </c>
    </row>
    <row r="220" customFormat="false" ht="15" hidden="false" customHeight="false" outlineLevel="0" collapsed="false">
      <c r="J220" s="31" t="str">
        <f aca="false">IF(AND(ISNUMBER(H220),ISNUMBER(I220)),I220-H220,"")</f>
        <v/>
      </c>
      <c r="K220" s="31" t="str">
        <f aca="false">IF(AND(ISNUMBER(G220),ISNUMBER(I220)),I220-G220,"")</f>
        <v/>
      </c>
    </row>
    <row r="221" customFormat="false" ht="15" hidden="false" customHeight="false" outlineLevel="0" collapsed="false">
      <c r="J221" s="31" t="str">
        <f aca="false">IF(AND(ISNUMBER(H221),ISNUMBER(I221)),I221-H221,"")</f>
        <v/>
      </c>
      <c r="K221" s="31" t="str">
        <f aca="false">IF(AND(ISNUMBER(G221),ISNUMBER(I221)),I221-G221,"")</f>
        <v/>
      </c>
    </row>
    <row r="222" customFormat="false" ht="15" hidden="false" customHeight="false" outlineLevel="0" collapsed="false">
      <c r="J222" s="31" t="str">
        <f aca="false">IF(AND(ISNUMBER(H222),ISNUMBER(I222)),I222-H222,"")</f>
        <v/>
      </c>
      <c r="K222" s="31" t="str">
        <f aca="false">IF(AND(ISNUMBER(G222),ISNUMBER(I222)),I222-G222,"")</f>
        <v/>
      </c>
    </row>
    <row r="223" customFormat="false" ht="15" hidden="false" customHeight="false" outlineLevel="0" collapsed="false">
      <c r="J223" s="31" t="str">
        <f aca="false">IF(AND(ISNUMBER(H223),ISNUMBER(I223)),I223-H223,"")</f>
        <v/>
      </c>
      <c r="K223" s="31" t="str">
        <f aca="false">IF(AND(ISNUMBER(G223),ISNUMBER(I223)),I223-G223,"")</f>
        <v/>
      </c>
    </row>
    <row r="224" customFormat="false" ht="15" hidden="false" customHeight="false" outlineLevel="0" collapsed="false">
      <c r="J224" s="31" t="str">
        <f aca="false">IF(AND(ISNUMBER(H224),ISNUMBER(I224)),I224-H224,"")</f>
        <v/>
      </c>
      <c r="K224" s="31" t="str">
        <f aca="false">IF(AND(ISNUMBER(G224),ISNUMBER(I224)),I224-G224,"")</f>
        <v/>
      </c>
    </row>
    <row r="225" customFormat="false" ht="15" hidden="false" customHeight="false" outlineLevel="0" collapsed="false">
      <c r="J225" s="31" t="str">
        <f aca="false">IF(AND(ISNUMBER(H225),ISNUMBER(I225)),I225-H225,"")</f>
        <v/>
      </c>
      <c r="K225" s="31" t="str">
        <f aca="false">IF(AND(ISNUMBER(G225),ISNUMBER(I225)),I225-G225,"")</f>
        <v/>
      </c>
    </row>
    <row r="226" customFormat="false" ht="15" hidden="false" customHeight="false" outlineLevel="0" collapsed="false">
      <c r="J226" s="31" t="str">
        <f aca="false">IF(AND(ISNUMBER(H226),ISNUMBER(I226)),I226-H226,"")</f>
        <v/>
      </c>
      <c r="K226" s="31" t="str">
        <f aca="false">IF(AND(ISNUMBER(G226),ISNUMBER(I226)),I226-G226,"")</f>
        <v/>
      </c>
    </row>
    <row r="227" customFormat="false" ht="15" hidden="false" customHeight="false" outlineLevel="0" collapsed="false">
      <c r="J227" s="31" t="str">
        <f aca="false">IF(AND(ISNUMBER(H227),ISNUMBER(I227)),I227-H227,"")</f>
        <v/>
      </c>
      <c r="K227" s="31" t="str">
        <f aca="false">IF(AND(ISNUMBER(G227),ISNUMBER(I227)),I227-G227,"")</f>
        <v/>
      </c>
    </row>
    <row r="228" customFormat="false" ht="15" hidden="false" customHeight="false" outlineLevel="0" collapsed="false">
      <c r="J228" s="31" t="str">
        <f aca="false">IF(AND(ISNUMBER(H228),ISNUMBER(I228)),I228-H228,"")</f>
        <v/>
      </c>
      <c r="K228" s="31" t="str">
        <f aca="false">IF(AND(ISNUMBER(G228),ISNUMBER(I228)),I228-G228,"")</f>
        <v/>
      </c>
    </row>
    <row r="229" customFormat="false" ht="15" hidden="false" customHeight="false" outlineLevel="0" collapsed="false">
      <c r="J229" s="31" t="str">
        <f aca="false">IF(AND(ISNUMBER(H229),ISNUMBER(I229)),I229-H229,"")</f>
        <v/>
      </c>
      <c r="K229" s="31" t="str">
        <f aca="false">IF(AND(ISNUMBER(G229),ISNUMBER(I229)),I229-G229,"")</f>
        <v/>
      </c>
    </row>
    <row r="230" customFormat="false" ht="15" hidden="false" customHeight="false" outlineLevel="0" collapsed="false">
      <c r="J230" s="31" t="str">
        <f aca="false">IF(AND(ISNUMBER(H230),ISNUMBER(I230)),I230-H230,"")</f>
        <v/>
      </c>
      <c r="K230" s="31" t="str">
        <f aca="false">IF(AND(ISNUMBER(G230),ISNUMBER(I230)),I230-G230,"")</f>
        <v/>
      </c>
    </row>
    <row r="231" customFormat="false" ht="15" hidden="false" customHeight="false" outlineLevel="0" collapsed="false">
      <c r="J231" s="31" t="str">
        <f aca="false">IF(AND(ISNUMBER(H231),ISNUMBER(I231)),I231-H231,"")</f>
        <v/>
      </c>
      <c r="K231" s="31" t="str">
        <f aca="false">IF(AND(ISNUMBER(G231),ISNUMBER(I231)),I231-G231,"")</f>
        <v/>
      </c>
    </row>
    <row r="232" customFormat="false" ht="15" hidden="false" customHeight="false" outlineLevel="0" collapsed="false">
      <c r="J232" s="31" t="str">
        <f aca="false">IF(AND(ISNUMBER(H232),ISNUMBER(I232)),I232-H232,"")</f>
        <v/>
      </c>
      <c r="K232" s="31" t="str">
        <f aca="false">IF(AND(ISNUMBER(G232),ISNUMBER(I232)),I232-G232,"")</f>
        <v/>
      </c>
    </row>
    <row r="233" customFormat="false" ht="15" hidden="false" customHeight="false" outlineLevel="0" collapsed="false">
      <c r="J233" s="31" t="str">
        <f aca="false">IF(AND(ISNUMBER(H233),ISNUMBER(I233)),I233-H233,"")</f>
        <v/>
      </c>
      <c r="K233" s="31" t="str">
        <f aca="false">IF(AND(ISNUMBER(G233),ISNUMBER(I233)),I233-G233,"")</f>
        <v/>
      </c>
    </row>
    <row r="234" customFormat="false" ht="15" hidden="false" customHeight="false" outlineLevel="0" collapsed="false">
      <c r="J234" s="31" t="str">
        <f aca="false">IF(AND(ISNUMBER(H234),ISNUMBER(I234)),I234-H234,"")</f>
        <v/>
      </c>
      <c r="K234" s="31" t="str">
        <f aca="false">IF(AND(ISNUMBER(G234),ISNUMBER(I234)),I234-G234,"")</f>
        <v/>
      </c>
    </row>
    <row r="235" customFormat="false" ht="15" hidden="false" customHeight="false" outlineLevel="0" collapsed="false">
      <c r="J235" s="31" t="str">
        <f aca="false">IF(AND(ISNUMBER(H235),ISNUMBER(I235)),I235-H235,"")</f>
        <v/>
      </c>
      <c r="K235" s="31" t="str">
        <f aca="false">IF(AND(ISNUMBER(G235),ISNUMBER(I235)),I235-G235,"")</f>
        <v/>
      </c>
    </row>
    <row r="236" customFormat="false" ht="15" hidden="false" customHeight="false" outlineLevel="0" collapsed="false">
      <c r="J236" s="31" t="str">
        <f aca="false">IF(AND(ISNUMBER(H236),ISNUMBER(I236)),I236-H236,"")</f>
        <v/>
      </c>
      <c r="K236" s="31" t="str">
        <f aca="false">IF(AND(ISNUMBER(G236),ISNUMBER(I236)),I236-G236,"")</f>
        <v/>
      </c>
    </row>
    <row r="237" customFormat="false" ht="15" hidden="false" customHeight="false" outlineLevel="0" collapsed="false">
      <c r="J237" s="31" t="str">
        <f aca="false">IF(AND(ISNUMBER(H237),ISNUMBER(I237)),I237-H237,"")</f>
        <v/>
      </c>
      <c r="K237" s="31" t="str">
        <f aca="false">IF(AND(ISNUMBER(G237),ISNUMBER(I237)),I237-G237,"")</f>
        <v/>
      </c>
    </row>
    <row r="238" customFormat="false" ht="15" hidden="false" customHeight="false" outlineLevel="0" collapsed="false">
      <c r="J238" s="31" t="str">
        <f aca="false">IF(AND(ISNUMBER(H238),ISNUMBER(I238)),I238-H238,"")</f>
        <v/>
      </c>
      <c r="K238" s="31" t="str">
        <f aca="false">IF(AND(ISNUMBER(G238),ISNUMBER(I238)),I238-G238,"")</f>
        <v/>
      </c>
    </row>
    <row r="239" customFormat="false" ht="15" hidden="false" customHeight="false" outlineLevel="0" collapsed="false">
      <c r="J239" s="31" t="str">
        <f aca="false">IF(AND(ISNUMBER(H239),ISNUMBER(I239)),I239-H239,"")</f>
        <v/>
      </c>
      <c r="K239" s="31" t="str">
        <f aca="false">IF(AND(ISNUMBER(G239),ISNUMBER(I239)),I239-G239,"")</f>
        <v/>
      </c>
    </row>
    <row r="240" customFormat="false" ht="15" hidden="false" customHeight="false" outlineLevel="0" collapsed="false">
      <c r="J240" s="31" t="str">
        <f aca="false">IF(AND(ISNUMBER(H240),ISNUMBER(I240)),I240-H240,"")</f>
        <v/>
      </c>
      <c r="K240" s="31" t="str">
        <f aca="false">IF(AND(ISNUMBER(G240),ISNUMBER(I240)),I240-G240,"")</f>
        <v/>
      </c>
    </row>
    <row r="241" customFormat="false" ht="15" hidden="false" customHeight="false" outlineLevel="0" collapsed="false">
      <c r="J241" s="31" t="str">
        <f aca="false">IF(AND(ISNUMBER(H241),ISNUMBER(I241)),I241-H241,"")</f>
        <v/>
      </c>
      <c r="K241" s="31" t="str">
        <f aca="false">IF(AND(ISNUMBER(G241),ISNUMBER(I241)),I241-G241,"")</f>
        <v/>
      </c>
    </row>
    <row r="242" customFormat="false" ht="15" hidden="false" customHeight="false" outlineLevel="0" collapsed="false">
      <c r="J242" s="31" t="str">
        <f aca="false">IF(AND(ISNUMBER(H242),ISNUMBER(I242)),I242-H242,"")</f>
        <v/>
      </c>
      <c r="K242" s="31" t="str">
        <f aca="false">IF(AND(ISNUMBER(G242),ISNUMBER(I242)),I242-G242,"")</f>
        <v/>
      </c>
    </row>
    <row r="243" customFormat="false" ht="15" hidden="false" customHeight="false" outlineLevel="0" collapsed="false">
      <c r="J243" s="31" t="str">
        <f aca="false">IF(AND(ISNUMBER(H243),ISNUMBER(I243)),I243-H243,"")</f>
        <v/>
      </c>
      <c r="K243" s="31" t="str">
        <f aca="false">IF(AND(ISNUMBER(G243),ISNUMBER(I243)),I243-G243,"")</f>
        <v/>
      </c>
    </row>
    <row r="244" customFormat="false" ht="15" hidden="false" customHeight="false" outlineLevel="0" collapsed="false">
      <c r="J244" s="31" t="str">
        <f aca="false">IF(AND(ISNUMBER(H244),ISNUMBER(I244)),I244-H244,"")</f>
        <v/>
      </c>
      <c r="K244" s="31" t="str">
        <f aca="false">IF(AND(ISNUMBER(G244),ISNUMBER(I244)),I244-G244,"")</f>
        <v/>
      </c>
    </row>
    <row r="245" customFormat="false" ht="15" hidden="false" customHeight="false" outlineLevel="0" collapsed="false">
      <c r="J245" s="31" t="str">
        <f aca="false">IF(AND(ISNUMBER(H245),ISNUMBER(I245)),I245-H245,"")</f>
        <v/>
      </c>
      <c r="K245" s="31" t="str">
        <f aca="false">IF(AND(ISNUMBER(G245),ISNUMBER(I245)),I245-G245,"")</f>
        <v/>
      </c>
    </row>
    <row r="246" customFormat="false" ht="15" hidden="false" customHeight="false" outlineLevel="0" collapsed="false">
      <c r="J246" s="31" t="str">
        <f aca="false">IF(AND(ISNUMBER(H246),ISNUMBER(I246)),I246-H246,"")</f>
        <v/>
      </c>
      <c r="K246" s="31" t="str">
        <f aca="false">IF(AND(ISNUMBER(G246),ISNUMBER(I246)),I246-G246,"")</f>
        <v/>
      </c>
    </row>
    <row r="247" customFormat="false" ht="15" hidden="false" customHeight="false" outlineLevel="0" collapsed="false">
      <c r="J247" s="31" t="str">
        <f aca="false">IF(AND(ISNUMBER(H247),ISNUMBER(I247)),I247-H247,"")</f>
        <v/>
      </c>
      <c r="K247" s="31" t="str">
        <f aca="false">IF(AND(ISNUMBER(G247),ISNUMBER(I247)),I247-G247,"")</f>
        <v/>
      </c>
    </row>
    <row r="248" customFormat="false" ht="15" hidden="false" customHeight="false" outlineLevel="0" collapsed="false">
      <c r="J248" s="31" t="str">
        <f aca="false">IF(AND(ISNUMBER(H248),ISNUMBER(I248)),I248-H248,"")</f>
        <v/>
      </c>
      <c r="K248" s="31" t="str">
        <f aca="false">IF(AND(ISNUMBER(G248),ISNUMBER(I248)),I248-G248,"")</f>
        <v/>
      </c>
    </row>
    <row r="249" customFormat="false" ht="15" hidden="false" customHeight="false" outlineLevel="0" collapsed="false">
      <c r="J249" s="31" t="str">
        <f aca="false">IF(AND(ISNUMBER(H249),ISNUMBER(I249)),I249-H249,"")</f>
        <v/>
      </c>
      <c r="K249" s="31" t="str">
        <f aca="false">IF(AND(ISNUMBER(G249),ISNUMBER(I249)),I249-G249,"")</f>
        <v/>
      </c>
    </row>
    <row r="250" customFormat="false" ht="15" hidden="false" customHeight="false" outlineLevel="0" collapsed="false">
      <c r="J250" s="31" t="str">
        <f aca="false">IF(AND(ISNUMBER(H250),ISNUMBER(I250)),I250-H250,"")</f>
        <v/>
      </c>
      <c r="K250" s="31" t="str">
        <f aca="false">IF(AND(ISNUMBER(G250),ISNUMBER(I250)),I250-G250,"")</f>
        <v/>
      </c>
    </row>
    <row r="251" customFormat="false" ht="15" hidden="false" customHeight="false" outlineLevel="0" collapsed="false">
      <c r="J251" s="31" t="str">
        <f aca="false">IF(AND(ISNUMBER(H251),ISNUMBER(I251)),I251-H251,"")</f>
        <v/>
      </c>
      <c r="K251" s="31" t="str">
        <f aca="false">IF(AND(ISNUMBER(G251),ISNUMBER(I251)),I251-G251,"")</f>
        <v/>
      </c>
    </row>
    <row r="252" customFormat="false" ht="15" hidden="false" customHeight="false" outlineLevel="0" collapsed="false">
      <c r="J252" s="31" t="str">
        <f aca="false">IF(AND(ISNUMBER(H252),ISNUMBER(I252)),I252-H252,"")</f>
        <v/>
      </c>
      <c r="K252" s="31" t="str">
        <f aca="false">IF(AND(ISNUMBER(G252),ISNUMBER(I252)),I252-G252,"")</f>
        <v/>
      </c>
    </row>
    <row r="253" customFormat="false" ht="15" hidden="false" customHeight="false" outlineLevel="0" collapsed="false">
      <c r="J253" s="31" t="str">
        <f aca="false">IF(AND(ISNUMBER(H253),ISNUMBER(I253)),I253-H253,"")</f>
        <v/>
      </c>
      <c r="K253" s="31" t="str">
        <f aca="false">IF(AND(ISNUMBER(G253),ISNUMBER(I253)),I253-G253,"")</f>
        <v/>
      </c>
    </row>
    <row r="254" customFormat="false" ht="15" hidden="false" customHeight="false" outlineLevel="0" collapsed="false">
      <c r="J254" s="31" t="str">
        <f aca="false">IF(AND(ISNUMBER(H254),ISNUMBER(I254)),I254-H254,"")</f>
        <v/>
      </c>
      <c r="K254" s="31" t="str">
        <f aca="false">IF(AND(ISNUMBER(G254),ISNUMBER(I254)),I254-G254,"")</f>
        <v/>
      </c>
    </row>
    <row r="255" customFormat="false" ht="15" hidden="false" customHeight="false" outlineLevel="0" collapsed="false">
      <c r="J255" s="31" t="str">
        <f aca="false">IF(AND(ISNUMBER(H255),ISNUMBER(I255)),I255-H255,"")</f>
        <v/>
      </c>
      <c r="K255" s="31" t="str">
        <f aca="false">IF(AND(ISNUMBER(G255),ISNUMBER(I255)),I255-G255,"")</f>
        <v/>
      </c>
    </row>
    <row r="256" customFormat="false" ht="15" hidden="false" customHeight="false" outlineLevel="0" collapsed="false">
      <c r="J256" s="31" t="str">
        <f aca="false">IF(AND(ISNUMBER(H256),ISNUMBER(I256)),I256-H256,"")</f>
        <v/>
      </c>
      <c r="K256" s="31" t="str">
        <f aca="false">IF(AND(ISNUMBER(G256),ISNUMBER(I256)),I256-G256,"")</f>
        <v/>
      </c>
    </row>
    <row r="257" customFormat="false" ht="15" hidden="false" customHeight="false" outlineLevel="0" collapsed="false">
      <c r="J257" s="31" t="str">
        <f aca="false">IF(AND(ISNUMBER(H257),ISNUMBER(I257)),I257-H257,"")</f>
        <v/>
      </c>
      <c r="K257" s="31" t="str">
        <f aca="false">IF(AND(ISNUMBER(G257),ISNUMBER(I257)),I257-G257,"")</f>
        <v/>
      </c>
    </row>
    <row r="258" customFormat="false" ht="15" hidden="false" customHeight="false" outlineLevel="0" collapsed="false">
      <c r="J258" s="31" t="str">
        <f aca="false">IF(AND(ISNUMBER(H258),ISNUMBER(I258)),I258-H258,"")</f>
        <v/>
      </c>
      <c r="K258" s="31" t="str">
        <f aca="false">IF(AND(ISNUMBER(G258),ISNUMBER(I258)),I258-G258,"")</f>
        <v/>
      </c>
    </row>
    <row r="259" customFormat="false" ht="15" hidden="false" customHeight="false" outlineLevel="0" collapsed="false">
      <c r="J259" s="31" t="str">
        <f aca="false">IF(AND(ISNUMBER(H259),ISNUMBER(I259)),I259-H259,"")</f>
        <v/>
      </c>
      <c r="K259" s="31" t="str">
        <f aca="false">IF(AND(ISNUMBER(G259),ISNUMBER(I259)),I259-G259,"")</f>
        <v/>
      </c>
    </row>
    <row r="260" customFormat="false" ht="15" hidden="false" customHeight="false" outlineLevel="0" collapsed="false">
      <c r="J260" s="31" t="str">
        <f aca="false">IF(AND(ISNUMBER(H260),ISNUMBER(I260)),I260-H260,"")</f>
        <v/>
      </c>
      <c r="K260" s="31" t="str">
        <f aca="false">IF(AND(ISNUMBER(G260),ISNUMBER(I260)),I260-G260,"")</f>
        <v/>
      </c>
    </row>
    <row r="261" customFormat="false" ht="15" hidden="false" customHeight="false" outlineLevel="0" collapsed="false">
      <c r="J261" s="31" t="str">
        <f aca="false">IF(AND(ISNUMBER(H261),ISNUMBER(I261)),I261-H261,"")</f>
        <v/>
      </c>
      <c r="K261" s="31" t="str">
        <f aca="false">IF(AND(ISNUMBER(G261),ISNUMBER(I261)),I261-G261,"")</f>
        <v/>
      </c>
    </row>
    <row r="262" customFormat="false" ht="15" hidden="false" customHeight="false" outlineLevel="0" collapsed="false">
      <c r="J262" s="31" t="str">
        <f aca="false">IF(AND(ISNUMBER(H262),ISNUMBER(I262)),I262-H262,"")</f>
        <v/>
      </c>
      <c r="K262" s="31" t="str">
        <f aca="false">IF(AND(ISNUMBER(G262),ISNUMBER(I262)),I262-G262,"")</f>
        <v/>
      </c>
    </row>
    <row r="263" customFormat="false" ht="15" hidden="false" customHeight="false" outlineLevel="0" collapsed="false">
      <c r="J263" s="31" t="str">
        <f aca="false">IF(AND(ISNUMBER(H263),ISNUMBER(I263)),I263-H263,"")</f>
        <v/>
      </c>
      <c r="K263" s="31" t="str">
        <f aca="false">IF(AND(ISNUMBER(G263),ISNUMBER(I263)),I263-G263,"")</f>
        <v/>
      </c>
    </row>
    <row r="264" customFormat="false" ht="15" hidden="false" customHeight="false" outlineLevel="0" collapsed="false">
      <c r="J264" s="31" t="str">
        <f aca="false">IF(AND(ISNUMBER(H264),ISNUMBER(I264)),I264-H264,"")</f>
        <v/>
      </c>
      <c r="K264" s="31" t="str">
        <f aca="false">IF(AND(ISNUMBER(G264),ISNUMBER(I264)),I264-G264,"")</f>
        <v/>
      </c>
    </row>
    <row r="265" customFormat="false" ht="15" hidden="false" customHeight="false" outlineLevel="0" collapsed="false">
      <c r="J265" s="31" t="str">
        <f aca="false">IF(AND(ISNUMBER(H265),ISNUMBER(I265)),I265-H265,"")</f>
        <v/>
      </c>
      <c r="K265" s="31" t="str">
        <f aca="false">IF(AND(ISNUMBER(G265),ISNUMBER(I265)),I265-G265,"")</f>
        <v/>
      </c>
    </row>
    <row r="266" customFormat="false" ht="15" hidden="false" customHeight="false" outlineLevel="0" collapsed="false">
      <c r="J266" s="31" t="str">
        <f aca="false">IF(AND(ISNUMBER(H266),ISNUMBER(I266)),I266-H266,"")</f>
        <v/>
      </c>
      <c r="K266" s="31" t="str">
        <f aca="false">IF(AND(ISNUMBER(G266),ISNUMBER(I266)),I266-G266,"")</f>
        <v/>
      </c>
    </row>
    <row r="267" customFormat="false" ht="15" hidden="false" customHeight="false" outlineLevel="0" collapsed="false">
      <c r="J267" s="31" t="str">
        <f aca="false">IF(AND(ISNUMBER(H267),ISNUMBER(I267)),I267-H267,"")</f>
        <v/>
      </c>
      <c r="K267" s="31" t="str">
        <f aca="false">IF(AND(ISNUMBER(G267),ISNUMBER(I267)),I267-G267,"")</f>
        <v/>
      </c>
    </row>
    <row r="268" customFormat="false" ht="15" hidden="false" customHeight="false" outlineLevel="0" collapsed="false">
      <c r="J268" s="31" t="str">
        <f aca="false">IF(AND(ISNUMBER(H268),ISNUMBER(I268)),I268-H268,"")</f>
        <v/>
      </c>
      <c r="K268" s="31" t="str">
        <f aca="false">IF(AND(ISNUMBER(G268),ISNUMBER(I268)),I268-G268,"")</f>
        <v/>
      </c>
    </row>
    <row r="269" customFormat="false" ht="15" hidden="false" customHeight="false" outlineLevel="0" collapsed="false">
      <c r="J269" s="31" t="str">
        <f aca="false">IF(AND(ISNUMBER(H269),ISNUMBER(I269)),I269-H269,"")</f>
        <v/>
      </c>
      <c r="K269" s="31" t="str">
        <f aca="false">IF(AND(ISNUMBER(G269),ISNUMBER(I269)),I269-G269,"")</f>
        <v/>
      </c>
    </row>
    <row r="270" customFormat="false" ht="15" hidden="false" customHeight="false" outlineLevel="0" collapsed="false">
      <c r="J270" s="31" t="str">
        <f aca="false">IF(AND(ISNUMBER(H270),ISNUMBER(I270)),I270-H270,"")</f>
        <v/>
      </c>
      <c r="K270" s="31" t="str">
        <f aca="false">IF(AND(ISNUMBER(G270),ISNUMBER(I270)),I270-G270,"")</f>
        <v/>
      </c>
    </row>
    <row r="271" customFormat="false" ht="15" hidden="false" customHeight="false" outlineLevel="0" collapsed="false">
      <c r="J271" s="31" t="str">
        <f aca="false">IF(AND(ISNUMBER(H271),ISNUMBER(I271)),I271-H271,"")</f>
        <v/>
      </c>
      <c r="K271" s="31" t="str">
        <f aca="false">IF(AND(ISNUMBER(G271),ISNUMBER(I271)),I271-G271,"")</f>
        <v/>
      </c>
    </row>
    <row r="272" customFormat="false" ht="15" hidden="false" customHeight="false" outlineLevel="0" collapsed="false">
      <c r="J272" s="31" t="str">
        <f aca="false">IF(AND(ISNUMBER(H272),ISNUMBER(I272)),I272-H272,"")</f>
        <v/>
      </c>
      <c r="K272" s="31" t="str">
        <f aca="false">IF(AND(ISNUMBER(G272),ISNUMBER(I272)),I272-G272,"")</f>
        <v/>
      </c>
    </row>
    <row r="273" customFormat="false" ht="15" hidden="false" customHeight="false" outlineLevel="0" collapsed="false">
      <c r="J273" s="31" t="str">
        <f aca="false">IF(AND(ISNUMBER(H273),ISNUMBER(I273)),I273-H273,"")</f>
        <v/>
      </c>
      <c r="K273" s="31" t="str">
        <f aca="false">IF(AND(ISNUMBER(G273),ISNUMBER(I273)),I273-G273,"")</f>
        <v/>
      </c>
    </row>
    <row r="274" customFormat="false" ht="15" hidden="false" customHeight="false" outlineLevel="0" collapsed="false">
      <c r="J274" s="31" t="str">
        <f aca="false">IF(AND(ISNUMBER(H274),ISNUMBER(I274)),I274-H274,"")</f>
        <v/>
      </c>
      <c r="K274" s="31" t="str">
        <f aca="false">IF(AND(ISNUMBER(G274),ISNUMBER(I274)),I274-G274,"")</f>
        <v/>
      </c>
    </row>
    <row r="275" customFormat="false" ht="15" hidden="false" customHeight="false" outlineLevel="0" collapsed="false">
      <c r="J275" s="31" t="str">
        <f aca="false">IF(AND(ISNUMBER(H275),ISNUMBER(I275)),I275-H275,"")</f>
        <v/>
      </c>
      <c r="K275" s="31" t="str">
        <f aca="false">IF(AND(ISNUMBER(G275),ISNUMBER(I275)),I275-G275,"")</f>
        <v/>
      </c>
    </row>
    <row r="276" customFormat="false" ht="15" hidden="false" customHeight="false" outlineLevel="0" collapsed="false">
      <c r="J276" s="31" t="str">
        <f aca="false">IF(AND(ISNUMBER(H276),ISNUMBER(I276)),I276-H276,"")</f>
        <v/>
      </c>
      <c r="K276" s="31" t="str">
        <f aca="false">IF(AND(ISNUMBER(G276),ISNUMBER(I276)),I276-G276,"")</f>
        <v/>
      </c>
    </row>
    <row r="277" customFormat="false" ht="15" hidden="false" customHeight="false" outlineLevel="0" collapsed="false">
      <c r="J277" s="31" t="str">
        <f aca="false">IF(AND(ISNUMBER(H277),ISNUMBER(I277)),I277-H277,"")</f>
        <v/>
      </c>
      <c r="K277" s="31" t="str">
        <f aca="false">IF(AND(ISNUMBER(G277),ISNUMBER(I277)),I277-G277,"")</f>
        <v/>
      </c>
    </row>
    <row r="278" customFormat="false" ht="15" hidden="false" customHeight="false" outlineLevel="0" collapsed="false">
      <c r="J278" s="31" t="str">
        <f aca="false">IF(AND(ISNUMBER(H278),ISNUMBER(I278)),I278-H278,"")</f>
        <v/>
      </c>
      <c r="K278" s="31" t="str">
        <f aca="false">IF(AND(ISNUMBER(G278),ISNUMBER(I278)),I278-G278,"")</f>
        <v/>
      </c>
    </row>
    <row r="279" customFormat="false" ht="15" hidden="false" customHeight="false" outlineLevel="0" collapsed="false">
      <c r="J279" s="31" t="str">
        <f aca="false">IF(AND(ISNUMBER(H279),ISNUMBER(I279)),I279-H279,"")</f>
        <v/>
      </c>
      <c r="K279" s="31" t="str">
        <f aca="false">IF(AND(ISNUMBER(G279),ISNUMBER(I279)),I279-G279,"")</f>
        <v/>
      </c>
    </row>
    <row r="280" customFormat="false" ht="15" hidden="false" customHeight="false" outlineLevel="0" collapsed="false">
      <c r="J280" s="31" t="str">
        <f aca="false">IF(AND(ISNUMBER(H280),ISNUMBER(I280)),I280-H280,"")</f>
        <v/>
      </c>
      <c r="K280" s="31" t="str">
        <f aca="false">IF(AND(ISNUMBER(G280),ISNUMBER(I280)),I280-G280,"")</f>
        <v/>
      </c>
    </row>
    <row r="281" customFormat="false" ht="15" hidden="false" customHeight="false" outlineLevel="0" collapsed="false">
      <c r="J281" s="31" t="str">
        <f aca="false">IF(AND(ISNUMBER(H281),ISNUMBER(I281)),I281-H281,"")</f>
        <v/>
      </c>
      <c r="K281" s="31" t="str">
        <f aca="false">IF(AND(ISNUMBER(G281),ISNUMBER(I281)),I281-G281,"")</f>
        <v/>
      </c>
    </row>
    <row r="282" customFormat="false" ht="15" hidden="false" customHeight="false" outlineLevel="0" collapsed="false">
      <c r="J282" s="31" t="str">
        <f aca="false">IF(AND(ISNUMBER(H282),ISNUMBER(I282)),I282-H282,"")</f>
        <v/>
      </c>
      <c r="K282" s="31" t="str">
        <f aca="false">IF(AND(ISNUMBER(G282),ISNUMBER(I282)),I282-G282,"")</f>
        <v/>
      </c>
    </row>
    <row r="283" customFormat="false" ht="15" hidden="false" customHeight="false" outlineLevel="0" collapsed="false">
      <c r="J283" s="31" t="str">
        <f aca="false">IF(AND(ISNUMBER(H283),ISNUMBER(I283)),I283-H283,"")</f>
        <v/>
      </c>
      <c r="K283" s="31" t="str">
        <f aca="false">IF(AND(ISNUMBER(G283),ISNUMBER(I283)),I283-G283,"")</f>
        <v/>
      </c>
    </row>
    <row r="284" customFormat="false" ht="15" hidden="false" customHeight="false" outlineLevel="0" collapsed="false">
      <c r="J284" s="31" t="str">
        <f aca="false">IF(AND(ISNUMBER(H284),ISNUMBER(I284)),I284-H284,"")</f>
        <v/>
      </c>
      <c r="K284" s="31" t="str">
        <f aca="false">IF(AND(ISNUMBER(G284),ISNUMBER(I284)),I284-G284,"")</f>
        <v/>
      </c>
    </row>
    <row r="285" customFormat="false" ht="15" hidden="false" customHeight="false" outlineLevel="0" collapsed="false">
      <c r="J285" s="31" t="str">
        <f aca="false">IF(AND(ISNUMBER(H285),ISNUMBER(I285)),I285-H285,"")</f>
        <v/>
      </c>
      <c r="K285" s="31" t="str">
        <f aca="false">IF(AND(ISNUMBER(G285),ISNUMBER(I285)),I285-G285,"")</f>
        <v/>
      </c>
    </row>
    <row r="286" customFormat="false" ht="15" hidden="false" customHeight="false" outlineLevel="0" collapsed="false">
      <c r="J286" s="31" t="str">
        <f aca="false">IF(AND(ISNUMBER(H286),ISNUMBER(I286)),I286-H286,"")</f>
        <v/>
      </c>
      <c r="K286" s="31" t="str">
        <f aca="false">IF(AND(ISNUMBER(G286),ISNUMBER(I286)),I286-G286,"")</f>
        <v/>
      </c>
    </row>
    <row r="287" customFormat="false" ht="15" hidden="false" customHeight="false" outlineLevel="0" collapsed="false">
      <c r="J287" s="31" t="str">
        <f aca="false">IF(AND(ISNUMBER(H287),ISNUMBER(I287)),I287-H287,"")</f>
        <v/>
      </c>
      <c r="K287" s="31" t="str">
        <f aca="false">IF(AND(ISNUMBER(G287),ISNUMBER(I287)),I287-G287,"")</f>
        <v/>
      </c>
    </row>
    <row r="288" customFormat="false" ht="15" hidden="false" customHeight="false" outlineLevel="0" collapsed="false">
      <c r="J288" s="31" t="str">
        <f aca="false">IF(AND(ISNUMBER(H288),ISNUMBER(I288)),I288-H288,"")</f>
        <v/>
      </c>
      <c r="K288" s="31" t="str">
        <f aca="false">IF(AND(ISNUMBER(G288),ISNUMBER(I288)),I288-G288,"")</f>
        <v/>
      </c>
    </row>
    <row r="289" customFormat="false" ht="15" hidden="false" customHeight="false" outlineLevel="0" collapsed="false">
      <c r="J289" s="31" t="str">
        <f aca="false">IF(AND(ISNUMBER(H289),ISNUMBER(I289)),I289-H289,"")</f>
        <v/>
      </c>
      <c r="K289" s="31" t="str">
        <f aca="false">IF(AND(ISNUMBER(G289),ISNUMBER(I289)),I289-G289,"")</f>
        <v/>
      </c>
    </row>
    <row r="290" customFormat="false" ht="15" hidden="false" customHeight="false" outlineLevel="0" collapsed="false">
      <c r="J290" s="31" t="str">
        <f aca="false">IF(AND(ISNUMBER(H290),ISNUMBER(I290)),I290-H290,"")</f>
        <v/>
      </c>
      <c r="K290" s="31" t="str">
        <f aca="false">IF(AND(ISNUMBER(G290),ISNUMBER(I290)),I290-G290,"")</f>
        <v/>
      </c>
    </row>
    <row r="291" customFormat="false" ht="15" hidden="false" customHeight="false" outlineLevel="0" collapsed="false">
      <c r="J291" s="31" t="str">
        <f aca="false">IF(AND(ISNUMBER(H291),ISNUMBER(I291)),I291-H291,"")</f>
        <v/>
      </c>
      <c r="K291" s="31" t="str">
        <f aca="false">IF(AND(ISNUMBER(G291),ISNUMBER(I291)),I291-G291,"")</f>
        <v/>
      </c>
    </row>
    <row r="292" customFormat="false" ht="15" hidden="false" customHeight="false" outlineLevel="0" collapsed="false">
      <c r="J292" s="31" t="str">
        <f aca="false">IF(AND(ISNUMBER(H292),ISNUMBER(I292)),I292-H292,"")</f>
        <v/>
      </c>
      <c r="K292" s="31" t="str">
        <f aca="false">IF(AND(ISNUMBER(G292),ISNUMBER(I292)),I292-G292,"")</f>
        <v/>
      </c>
    </row>
    <row r="293" customFormat="false" ht="15" hidden="false" customHeight="false" outlineLevel="0" collapsed="false">
      <c r="J293" s="31" t="str">
        <f aca="false">IF(AND(ISNUMBER(H293),ISNUMBER(I293)),I293-H293,"")</f>
        <v/>
      </c>
      <c r="K293" s="31" t="str">
        <f aca="false">IF(AND(ISNUMBER(G293),ISNUMBER(I293)),I293-G293,"")</f>
        <v/>
      </c>
    </row>
    <row r="294" customFormat="false" ht="15" hidden="false" customHeight="false" outlineLevel="0" collapsed="false">
      <c r="J294" s="31" t="str">
        <f aca="false">IF(AND(ISNUMBER(H294),ISNUMBER(I294)),I294-H294,"")</f>
        <v/>
      </c>
      <c r="K294" s="31" t="str">
        <f aca="false">IF(AND(ISNUMBER(G294),ISNUMBER(I294)),I294-G294,"")</f>
        <v/>
      </c>
    </row>
    <row r="295" customFormat="false" ht="15" hidden="false" customHeight="false" outlineLevel="0" collapsed="false">
      <c r="J295" s="31" t="str">
        <f aca="false">IF(AND(ISNUMBER(H295),ISNUMBER(I295)),I295-H295,"")</f>
        <v/>
      </c>
      <c r="K295" s="31" t="str">
        <f aca="false">IF(AND(ISNUMBER(G295),ISNUMBER(I295)),I295-G295,"")</f>
        <v/>
      </c>
    </row>
    <row r="296" customFormat="false" ht="15" hidden="false" customHeight="false" outlineLevel="0" collapsed="false">
      <c r="J296" s="31" t="str">
        <f aca="false">IF(AND(ISNUMBER(H296),ISNUMBER(I296)),I296-H296,"")</f>
        <v/>
      </c>
      <c r="K296" s="31" t="str">
        <f aca="false">IF(AND(ISNUMBER(G296),ISNUMBER(I296)),I296-G296,"")</f>
        <v/>
      </c>
    </row>
    <row r="297" customFormat="false" ht="15" hidden="false" customHeight="false" outlineLevel="0" collapsed="false">
      <c r="J297" s="31" t="str">
        <f aca="false">IF(AND(ISNUMBER(H297),ISNUMBER(I297)),I297-H297,"")</f>
        <v/>
      </c>
      <c r="K297" s="31" t="str">
        <f aca="false">IF(AND(ISNUMBER(G297),ISNUMBER(I297)),I297-G297,"")</f>
        <v/>
      </c>
    </row>
    <row r="298" customFormat="false" ht="15" hidden="false" customHeight="false" outlineLevel="0" collapsed="false">
      <c r="J298" s="31" t="str">
        <f aca="false">IF(AND(ISNUMBER(H298),ISNUMBER(I298)),I298-H298,"")</f>
        <v/>
      </c>
      <c r="K298" s="31" t="str">
        <f aca="false">IF(AND(ISNUMBER(G298),ISNUMBER(I298)),I298-G298,"")</f>
        <v/>
      </c>
    </row>
    <row r="299" customFormat="false" ht="15" hidden="false" customHeight="false" outlineLevel="0" collapsed="false">
      <c r="J299" s="31" t="str">
        <f aca="false">IF(AND(ISNUMBER(H299),ISNUMBER(I299)),I299-H299,"")</f>
        <v/>
      </c>
      <c r="K299" s="31" t="str">
        <f aca="false">IF(AND(ISNUMBER(G299),ISNUMBER(I299)),I299-G299,"")</f>
        <v/>
      </c>
    </row>
    <row r="300" customFormat="false" ht="15" hidden="false" customHeight="false" outlineLevel="0" collapsed="false">
      <c r="J300" s="31" t="str">
        <f aca="false">IF(AND(ISNUMBER(H300),ISNUMBER(I300)),I300-H300,"")</f>
        <v/>
      </c>
      <c r="K300" s="31" t="str">
        <f aca="false">IF(AND(ISNUMBER(G300),ISNUMBER(I300)),I300-G300,"")</f>
        <v/>
      </c>
    </row>
    <row r="301" customFormat="false" ht="15" hidden="false" customHeight="false" outlineLevel="0" collapsed="false">
      <c r="J301" s="31" t="str">
        <f aca="false">IF(AND(ISNUMBER(H301),ISNUMBER(I301)),I301-H301,"")</f>
        <v/>
      </c>
      <c r="K301" s="31" t="str">
        <f aca="false">IF(AND(ISNUMBER(G301),ISNUMBER(I301)),I301-G301,"")</f>
        <v/>
      </c>
    </row>
    <row r="302" customFormat="false" ht="15" hidden="false" customHeight="false" outlineLevel="0" collapsed="false">
      <c r="J302" s="31" t="str">
        <f aca="false">IF(AND(ISNUMBER(H302),ISNUMBER(I302)),I302-H302,"")</f>
        <v/>
      </c>
      <c r="K302" s="31" t="str">
        <f aca="false">IF(AND(ISNUMBER(G302),ISNUMBER(I302)),I302-G302,"")</f>
        <v/>
      </c>
    </row>
    <row r="303" customFormat="false" ht="15" hidden="false" customHeight="false" outlineLevel="0" collapsed="false">
      <c r="J303" s="31" t="str">
        <f aca="false">IF(AND(ISNUMBER(H303),ISNUMBER(I303)),I303-H303,"")</f>
        <v/>
      </c>
      <c r="K303" s="31" t="str">
        <f aca="false">IF(AND(ISNUMBER(G303),ISNUMBER(I303)),I303-G303,"")</f>
        <v/>
      </c>
    </row>
    <row r="304" customFormat="false" ht="15" hidden="false" customHeight="false" outlineLevel="0" collapsed="false">
      <c r="J304" s="31" t="str">
        <f aca="false">IF(AND(ISNUMBER(H304),ISNUMBER(I304)),I304-H304,"")</f>
        <v/>
      </c>
      <c r="K304" s="31" t="str">
        <f aca="false">IF(AND(ISNUMBER(G304),ISNUMBER(I304)),I304-G304,"")</f>
        <v/>
      </c>
    </row>
    <row r="305" customFormat="false" ht="15" hidden="false" customHeight="false" outlineLevel="0" collapsed="false">
      <c r="J305" s="31" t="str">
        <f aca="false">IF(AND(ISNUMBER(H305),ISNUMBER(I305)),I305-H305,"")</f>
        <v/>
      </c>
      <c r="K305" s="31" t="str">
        <f aca="false">IF(AND(ISNUMBER(G305),ISNUMBER(I305)),I305-G305,"")</f>
        <v/>
      </c>
    </row>
    <row r="306" customFormat="false" ht="15" hidden="false" customHeight="false" outlineLevel="0" collapsed="false">
      <c r="J306" s="31" t="str">
        <f aca="false">IF(AND(ISNUMBER(H306),ISNUMBER(I306)),I306-H306,"")</f>
        <v/>
      </c>
      <c r="K306" s="31" t="str">
        <f aca="false">IF(AND(ISNUMBER(G306),ISNUMBER(I306)),I306-G306,"")</f>
        <v/>
      </c>
    </row>
    <row r="307" customFormat="false" ht="15" hidden="false" customHeight="false" outlineLevel="0" collapsed="false">
      <c r="J307" s="31" t="str">
        <f aca="false">IF(AND(ISNUMBER(H307),ISNUMBER(I307)),I307-H307,"")</f>
        <v/>
      </c>
      <c r="K307" s="31" t="str">
        <f aca="false">IF(AND(ISNUMBER(G307),ISNUMBER(I307)),I307-G307,"")</f>
        <v/>
      </c>
    </row>
    <row r="308" customFormat="false" ht="15" hidden="false" customHeight="false" outlineLevel="0" collapsed="false">
      <c r="J308" s="31" t="str">
        <f aca="false">IF(AND(ISNUMBER(H308),ISNUMBER(I308)),I308-H308,"")</f>
        <v/>
      </c>
      <c r="K308" s="31" t="str">
        <f aca="false">IF(AND(ISNUMBER(G308),ISNUMBER(I308)),I308-G308,"")</f>
        <v/>
      </c>
    </row>
    <row r="309" customFormat="false" ht="15" hidden="false" customHeight="false" outlineLevel="0" collapsed="false">
      <c r="J309" s="31" t="str">
        <f aca="false">IF(AND(ISNUMBER(H309),ISNUMBER(I309)),I309-H309,"")</f>
        <v/>
      </c>
      <c r="K309" s="31" t="str">
        <f aca="false">IF(AND(ISNUMBER(G309),ISNUMBER(I309)),I309-G309,"")</f>
        <v/>
      </c>
    </row>
    <row r="310" customFormat="false" ht="15" hidden="false" customHeight="false" outlineLevel="0" collapsed="false">
      <c r="J310" s="31" t="str">
        <f aca="false">IF(AND(ISNUMBER(H310),ISNUMBER(I310)),I310-H310,"")</f>
        <v/>
      </c>
      <c r="K310" s="31" t="str">
        <f aca="false">IF(AND(ISNUMBER(G310),ISNUMBER(I310)),I310-G310,"")</f>
        <v/>
      </c>
    </row>
    <row r="311" customFormat="false" ht="15" hidden="false" customHeight="false" outlineLevel="0" collapsed="false">
      <c r="J311" s="31" t="str">
        <f aca="false">IF(AND(ISNUMBER(H311),ISNUMBER(I311)),I311-H311,"")</f>
        <v/>
      </c>
      <c r="K311" s="31" t="str">
        <f aca="false">IF(AND(ISNUMBER(G311),ISNUMBER(I311)),I311-G311,"")</f>
        <v/>
      </c>
    </row>
    <row r="312" customFormat="false" ht="15" hidden="false" customHeight="false" outlineLevel="0" collapsed="false">
      <c r="J312" s="31" t="str">
        <f aca="false">IF(AND(ISNUMBER(H312),ISNUMBER(I312)),I312-H312,"")</f>
        <v/>
      </c>
      <c r="K312" s="31" t="str">
        <f aca="false">IF(AND(ISNUMBER(G312),ISNUMBER(I312)),I312-G312,"")</f>
        <v/>
      </c>
    </row>
    <row r="313" customFormat="false" ht="15" hidden="false" customHeight="false" outlineLevel="0" collapsed="false">
      <c r="J313" s="31" t="str">
        <f aca="false">IF(AND(ISNUMBER(H313),ISNUMBER(I313)),I313-H313,"")</f>
        <v/>
      </c>
      <c r="K313" s="31" t="str">
        <f aca="false">IF(AND(ISNUMBER(G313),ISNUMBER(I313)),I313-G313,"")</f>
        <v/>
      </c>
    </row>
    <row r="314" customFormat="false" ht="15" hidden="false" customHeight="false" outlineLevel="0" collapsed="false">
      <c r="J314" s="31" t="str">
        <f aca="false">IF(AND(ISNUMBER(H314),ISNUMBER(I314)),I314-H314,"")</f>
        <v/>
      </c>
      <c r="K314" s="31" t="str">
        <f aca="false">IF(AND(ISNUMBER(G314),ISNUMBER(I314)),I314-G314,"")</f>
        <v/>
      </c>
    </row>
    <row r="315" customFormat="false" ht="15" hidden="false" customHeight="false" outlineLevel="0" collapsed="false">
      <c r="J315" s="31" t="str">
        <f aca="false">IF(AND(ISNUMBER(H315),ISNUMBER(I315)),I315-H315,"")</f>
        <v/>
      </c>
      <c r="K315" s="31" t="str">
        <f aca="false">IF(AND(ISNUMBER(G315),ISNUMBER(I315)),I315-G315,"")</f>
        <v/>
      </c>
    </row>
    <row r="316" customFormat="false" ht="15" hidden="false" customHeight="false" outlineLevel="0" collapsed="false">
      <c r="J316" s="31" t="str">
        <f aca="false">IF(AND(ISNUMBER(H316),ISNUMBER(I316)),I316-H316,"")</f>
        <v/>
      </c>
      <c r="K316" s="31" t="str">
        <f aca="false">IF(AND(ISNUMBER(G316),ISNUMBER(I316)),I316-G316,"")</f>
        <v/>
      </c>
    </row>
    <row r="317" customFormat="false" ht="15" hidden="false" customHeight="false" outlineLevel="0" collapsed="false">
      <c r="J317" s="31" t="str">
        <f aca="false">IF(AND(ISNUMBER(H317),ISNUMBER(I317)),I317-H317,"")</f>
        <v/>
      </c>
      <c r="K317" s="31" t="str">
        <f aca="false">IF(AND(ISNUMBER(G317),ISNUMBER(I317)),I317-G317,"")</f>
        <v/>
      </c>
    </row>
    <row r="318" customFormat="false" ht="15" hidden="false" customHeight="false" outlineLevel="0" collapsed="false">
      <c r="J318" s="31" t="str">
        <f aca="false">IF(AND(ISNUMBER(H318),ISNUMBER(I318)),I318-H318,"")</f>
        <v/>
      </c>
      <c r="K318" s="31" t="str">
        <f aca="false">IF(AND(ISNUMBER(G318),ISNUMBER(I318)),I318-G318,"")</f>
        <v/>
      </c>
    </row>
    <row r="319" customFormat="false" ht="15" hidden="false" customHeight="false" outlineLevel="0" collapsed="false">
      <c r="J319" s="31" t="str">
        <f aca="false">IF(AND(ISNUMBER(H319),ISNUMBER(I319)),I319-H319,"")</f>
        <v/>
      </c>
      <c r="K319" s="31" t="str">
        <f aca="false">IF(AND(ISNUMBER(G319),ISNUMBER(I319)),I319-G319,"")</f>
        <v/>
      </c>
    </row>
    <row r="320" customFormat="false" ht="15" hidden="false" customHeight="false" outlineLevel="0" collapsed="false">
      <c r="J320" s="31" t="str">
        <f aca="false">IF(AND(ISNUMBER(H320),ISNUMBER(I320)),I320-H320,"")</f>
        <v/>
      </c>
      <c r="K320" s="31" t="str">
        <f aca="false">IF(AND(ISNUMBER(G320),ISNUMBER(I320)),I320-G320,"")</f>
        <v/>
      </c>
    </row>
    <row r="321" customFormat="false" ht="15" hidden="false" customHeight="false" outlineLevel="0" collapsed="false">
      <c r="J321" s="31" t="str">
        <f aca="false">IF(AND(ISNUMBER(H321),ISNUMBER(I321)),I321-H321,"")</f>
        <v/>
      </c>
      <c r="K321" s="31" t="str">
        <f aca="false">IF(AND(ISNUMBER(G321),ISNUMBER(I321)),I321-G321,"")</f>
        <v/>
      </c>
    </row>
    <row r="322" customFormat="false" ht="15" hidden="false" customHeight="false" outlineLevel="0" collapsed="false">
      <c r="J322" s="31" t="str">
        <f aca="false">IF(AND(ISNUMBER(H322),ISNUMBER(I322)),I322-H322,"")</f>
        <v/>
      </c>
      <c r="K322" s="31" t="str">
        <f aca="false">IF(AND(ISNUMBER(G322),ISNUMBER(I322)),I322-G322,"")</f>
        <v/>
      </c>
    </row>
    <row r="323" customFormat="false" ht="15" hidden="false" customHeight="false" outlineLevel="0" collapsed="false">
      <c r="J323" s="31" t="str">
        <f aca="false">IF(AND(ISNUMBER(H323),ISNUMBER(I323)),I323-H323,"")</f>
        <v/>
      </c>
      <c r="K323" s="31" t="str">
        <f aca="false">IF(AND(ISNUMBER(G323),ISNUMBER(I323)),I323-G323,"")</f>
        <v/>
      </c>
    </row>
    <row r="324" customFormat="false" ht="15" hidden="false" customHeight="false" outlineLevel="0" collapsed="false">
      <c r="J324" s="31" t="str">
        <f aca="false">IF(AND(ISNUMBER(H324),ISNUMBER(I324)),I324-H324,"")</f>
        <v/>
      </c>
      <c r="K324" s="31" t="str">
        <f aca="false">IF(AND(ISNUMBER(G324),ISNUMBER(I324)),I324-G324,"")</f>
        <v/>
      </c>
    </row>
    <row r="325" customFormat="false" ht="15" hidden="false" customHeight="false" outlineLevel="0" collapsed="false">
      <c r="J325" s="31" t="str">
        <f aca="false">IF(AND(ISNUMBER(H325),ISNUMBER(I325)),I325-H325,"")</f>
        <v/>
      </c>
      <c r="K325" s="31" t="str">
        <f aca="false">IF(AND(ISNUMBER(G325),ISNUMBER(I325)),I325-G325,"")</f>
        <v/>
      </c>
    </row>
    <row r="326" customFormat="false" ht="15" hidden="false" customHeight="false" outlineLevel="0" collapsed="false">
      <c r="J326" s="31" t="str">
        <f aca="false">IF(AND(ISNUMBER(H326),ISNUMBER(I326)),I326-H326,"")</f>
        <v/>
      </c>
      <c r="K326" s="31" t="str">
        <f aca="false">IF(AND(ISNUMBER(G326),ISNUMBER(I326)),I326-G326,"")</f>
        <v/>
      </c>
    </row>
    <row r="327" customFormat="false" ht="15" hidden="false" customHeight="false" outlineLevel="0" collapsed="false">
      <c r="J327" s="31" t="str">
        <f aca="false">IF(AND(ISNUMBER(H327),ISNUMBER(I327)),I327-H327,"")</f>
        <v/>
      </c>
      <c r="K327" s="31" t="str">
        <f aca="false">IF(AND(ISNUMBER(G327),ISNUMBER(I327)),I327-G327,"")</f>
        <v/>
      </c>
    </row>
    <row r="328" customFormat="false" ht="15" hidden="false" customHeight="false" outlineLevel="0" collapsed="false">
      <c r="J328" s="31" t="str">
        <f aca="false">IF(AND(ISNUMBER(H328),ISNUMBER(I328)),I328-H328,"")</f>
        <v/>
      </c>
      <c r="K328" s="31" t="str">
        <f aca="false">IF(AND(ISNUMBER(G328),ISNUMBER(I328)),I328-G328,"")</f>
        <v/>
      </c>
    </row>
    <row r="329" customFormat="false" ht="15" hidden="false" customHeight="false" outlineLevel="0" collapsed="false">
      <c r="J329" s="31" t="str">
        <f aca="false">IF(AND(ISNUMBER(H329),ISNUMBER(I329)),I329-H329,"")</f>
        <v/>
      </c>
      <c r="K329" s="31" t="str">
        <f aca="false">IF(AND(ISNUMBER(G329),ISNUMBER(I329)),I329-G329,"")</f>
        <v/>
      </c>
    </row>
    <row r="330" customFormat="false" ht="15" hidden="false" customHeight="false" outlineLevel="0" collapsed="false">
      <c r="J330" s="31" t="str">
        <f aca="false">IF(AND(ISNUMBER(H330),ISNUMBER(I330)),I330-H330,"")</f>
        <v/>
      </c>
      <c r="K330" s="31" t="str">
        <f aca="false">IF(AND(ISNUMBER(G330),ISNUMBER(I330)),I330-G330,"")</f>
        <v/>
      </c>
    </row>
    <row r="331" customFormat="false" ht="15" hidden="false" customHeight="false" outlineLevel="0" collapsed="false">
      <c r="J331" s="31" t="str">
        <f aca="false">IF(AND(ISNUMBER(H331),ISNUMBER(I331)),I331-H331,"")</f>
        <v/>
      </c>
      <c r="K331" s="31" t="str">
        <f aca="false">IF(AND(ISNUMBER(G331),ISNUMBER(I331)),I331-G331,"")</f>
        <v/>
      </c>
    </row>
    <row r="332" customFormat="false" ht="15" hidden="false" customHeight="false" outlineLevel="0" collapsed="false">
      <c r="J332" s="31" t="str">
        <f aca="false">IF(AND(ISNUMBER(H332),ISNUMBER(I332)),I332-H332,"")</f>
        <v/>
      </c>
      <c r="K332" s="31" t="str">
        <f aca="false">IF(AND(ISNUMBER(G332),ISNUMBER(I332)),I332-G332,"")</f>
        <v/>
      </c>
    </row>
    <row r="333" customFormat="false" ht="15" hidden="false" customHeight="false" outlineLevel="0" collapsed="false">
      <c r="J333" s="31" t="str">
        <f aca="false">IF(AND(ISNUMBER(H333),ISNUMBER(I333)),I333-H333,"")</f>
        <v/>
      </c>
      <c r="K333" s="31" t="str">
        <f aca="false">IF(AND(ISNUMBER(G333),ISNUMBER(I333)),I333-G333,"")</f>
        <v/>
      </c>
    </row>
    <row r="334" customFormat="false" ht="15" hidden="false" customHeight="false" outlineLevel="0" collapsed="false">
      <c r="J334" s="31" t="str">
        <f aca="false">IF(AND(ISNUMBER(H334),ISNUMBER(I334)),I334-H334,"")</f>
        <v/>
      </c>
      <c r="K334" s="31" t="str">
        <f aca="false">IF(AND(ISNUMBER(G334),ISNUMBER(I334)),I334-G334,"")</f>
        <v/>
      </c>
    </row>
    <row r="335" customFormat="false" ht="15" hidden="false" customHeight="false" outlineLevel="0" collapsed="false">
      <c r="J335" s="31" t="str">
        <f aca="false">IF(AND(ISNUMBER(H335),ISNUMBER(I335)),I335-H335,"")</f>
        <v/>
      </c>
      <c r="K335" s="31" t="str">
        <f aca="false">IF(AND(ISNUMBER(G335),ISNUMBER(I335)),I335-G335,"")</f>
        <v/>
      </c>
    </row>
    <row r="336" customFormat="false" ht="15" hidden="false" customHeight="false" outlineLevel="0" collapsed="false">
      <c r="J336" s="31" t="str">
        <f aca="false">IF(AND(ISNUMBER(H336),ISNUMBER(I336)),I336-H336,"")</f>
        <v/>
      </c>
      <c r="K336" s="31" t="str">
        <f aca="false">IF(AND(ISNUMBER(G336),ISNUMBER(I336)),I336-G336,"")</f>
        <v/>
      </c>
    </row>
    <row r="337" customFormat="false" ht="15" hidden="false" customHeight="false" outlineLevel="0" collapsed="false">
      <c r="J337" s="31" t="str">
        <f aca="false">IF(AND(ISNUMBER(H337),ISNUMBER(I337)),I337-H337,"")</f>
        <v/>
      </c>
      <c r="K337" s="31" t="str">
        <f aca="false">IF(AND(ISNUMBER(G337),ISNUMBER(I337)),I337-G337,"")</f>
        <v/>
      </c>
    </row>
    <row r="338" customFormat="false" ht="15" hidden="false" customHeight="false" outlineLevel="0" collapsed="false">
      <c r="J338" s="31" t="str">
        <f aca="false">IF(AND(ISNUMBER(H338),ISNUMBER(I338)),I338-H338,"")</f>
        <v/>
      </c>
      <c r="K338" s="31" t="str">
        <f aca="false">IF(AND(ISNUMBER(G338),ISNUMBER(I338)),I338-G338,"")</f>
        <v/>
      </c>
    </row>
    <row r="339" customFormat="false" ht="15" hidden="false" customHeight="false" outlineLevel="0" collapsed="false">
      <c r="J339" s="31" t="str">
        <f aca="false">IF(AND(ISNUMBER(H339),ISNUMBER(I339)),I339-H339,"")</f>
        <v/>
      </c>
      <c r="K339" s="31" t="str">
        <f aca="false">IF(AND(ISNUMBER(G339),ISNUMBER(I339)),I339-G339,"")</f>
        <v/>
      </c>
    </row>
    <row r="340" customFormat="false" ht="15" hidden="false" customHeight="false" outlineLevel="0" collapsed="false">
      <c r="J340" s="31" t="str">
        <f aca="false">IF(AND(ISNUMBER(H340),ISNUMBER(I340)),I340-H340,"")</f>
        <v/>
      </c>
      <c r="K340" s="31" t="str">
        <f aca="false">IF(AND(ISNUMBER(G340),ISNUMBER(I340)),I340-G340,"")</f>
        <v/>
      </c>
    </row>
    <row r="341" customFormat="false" ht="15" hidden="false" customHeight="false" outlineLevel="0" collapsed="false">
      <c r="J341" s="31" t="str">
        <f aca="false">IF(AND(ISNUMBER(H341),ISNUMBER(I341)),I341-H341,"")</f>
        <v/>
      </c>
      <c r="K341" s="31" t="str">
        <f aca="false">IF(AND(ISNUMBER(G341),ISNUMBER(I341)),I341-G341,"")</f>
        <v/>
      </c>
    </row>
    <row r="342" customFormat="false" ht="15" hidden="false" customHeight="false" outlineLevel="0" collapsed="false">
      <c r="J342" s="31" t="str">
        <f aca="false">IF(AND(ISNUMBER(H342),ISNUMBER(I342)),I342-H342,"")</f>
        <v/>
      </c>
      <c r="K342" s="31" t="str">
        <f aca="false">IF(AND(ISNUMBER(G342),ISNUMBER(I342)),I342-G342,"")</f>
        <v/>
      </c>
    </row>
    <row r="343" customFormat="false" ht="15" hidden="false" customHeight="false" outlineLevel="0" collapsed="false">
      <c r="J343" s="31" t="str">
        <f aca="false">IF(AND(ISNUMBER(H343),ISNUMBER(I343)),I343-H343,"")</f>
        <v/>
      </c>
      <c r="K343" s="31" t="str">
        <f aca="false">IF(AND(ISNUMBER(G343),ISNUMBER(I343)),I343-G343,"")</f>
        <v/>
      </c>
    </row>
    <row r="344" customFormat="false" ht="15" hidden="false" customHeight="false" outlineLevel="0" collapsed="false">
      <c r="J344" s="31" t="str">
        <f aca="false">IF(AND(ISNUMBER(H344),ISNUMBER(I344)),I344-H344,"")</f>
        <v/>
      </c>
      <c r="K344" s="31" t="str">
        <f aca="false">IF(AND(ISNUMBER(G344),ISNUMBER(I344)),I344-G344,"")</f>
        <v/>
      </c>
    </row>
    <row r="345" customFormat="false" ht="15" hidden="false" customHeight="false" outlineLevel="0" collapsed="false">
      <c r="J345" s="31" t="str">
        <f aca="false">IF(AND(ISNUMBER(H345),ISNUMBER(I345)),I345-H345,"")</f>
        <v/>
      </c>
      <c r="K345" s="31" t="str">
        <f aca="false">IF(AND(ISNUMBER(G345),ISNUMBER(I345)),I345-G345,"")</f>
        <v/>
      </c>
    </row>
    <row r="346" customFormat="false" ht="15" hidden="false" customHeight="false" outlineLevel="0" collapsed="false">
      <c r="J346" s="31" t="str">
        <f aca="false">IF(AND(ISNUMBER(H346),ISNUMBER(I346)),I346-H346,"")</f>
        <v/>
      </c>
      <c r="K346" s="31" t="str">
        <f aca="false">IF(AND(ISNUMBER(G346),ISNUMBER(I346)),I346-G346,"")</f>
        <v/>
      </c>
    </row>
    <row r="347" customFormat="false" ht="15" hidden="false" customHeight="false" outlineLevel="0" collapsed="false">
      <c r="J347" s="31" t="str">
        <f aca="false">IF(AND(ISNUMBER(H347),ISNUMBER(I347)),I347-H347,"")</f>
        <v/>
      </c>
      <c r="K347" s="31" t="str">
        <f aca="false">IF(AND(ISNUMBER(G347),ISNUMBER(I347)),I347-G347,"")</f>
        <v/>
      </c>
    </row>
    <row r="348" customFormat="false" ht="15" hidden="false" customHeight="false" outlineLevel="0" collapsed="false">
      <c r="J348" s="31" t="str">
        <f aca="false">IF(AND(ISNUMBER(H348),ISNUMBER(I348)),I348-H348,"")</f>
        <v/>
      </c>
      <c r="K348" s="31" t="str">
        <f aca="false">IF(AND(ISNUMBER(G348),ISNUMBER(I348)),I348-G348,"")</f>
        <v/>
      </c>
    </row>
    <row r="349" customFormat="false" ht="15" hidden="false" customHeight="false" outlineLevel="0" collapsed="false">
      <c r="J349" s="31" t="str">
        <f aca="false">IF(AND(ISNUMBER(H349),ISNUMBER(I349)),I349-H349,"")</f>
        <v/>
      </c>
      <c r="K349" s="31" t="str">
        <f aca="false">IF(AND(ISNUMBER(G349),ISNUMBER(I349)),I349-G349,"")</f>
        <v/>
      </c>
    </row>
    <row r="350" customFormat="false" ht="15" hidden="false" customHeight="false" outlineLevel="0" collapsed="false">
      <c r="J350" s="31" t="str">
        <f aca="false">IF(AND(ISNUMBER(H350),ISNUMBER(I350)),I350-H350,"")</f>
        <v/>
      </c>
      <c r="K350" s="31" t="str">
        <f aca="false">IF(AND(ISNUMBER(G350),ISNUMBER(I350)),I350-G350,"")</f>
        <v/>
      </c>
    </row>
    <row r="351" customFormat="false" ht="15" hidden="false" customHeight="false" outlineLevel="0" collapsed="false">
      <c r="J351" s="31" t="str">
        <f aca="false">IF(AND(ISNUMBER(H351),ISNUMBER(I351)),I351-H351,"")</f>
        <v/>
      </c>
      <c r="K351" s="31" t="str">
        <f aca="false">IF(AND(ISNUMBER(G351),ISNUMBER(I351)),I351-G351,"")</f>
        <v/>
      </c>
    </row>
    <row r="352" customFormat="false" ht="15" hidden="false" customHeight="false" outlineLevel="0" collapsed="false">
      <c r="J352" s="31" t="str">
        <f aca="false">IF(AND(ISNUMBER(H352),ISNUMBER(I352)),I352-H352,"")</f>
        <v/>
      </c>
      <c r="K352" s="31" t="str">
        <f aca="false">IF(AND(ISNUMBER(G352),ISNUMBER(I352)),I352-G352,"")</f>
        <v/>
      </c>
    </row>
    <row r="353" customFormat="false" ht="15" hidden="false" customHeight="false" outlineLevel="0" collapsed="false">
      <c r="J353" s="31" t="str">
        <f aca="false">IF(AND(ISNUMBER(H353),ISNUMBER(I353)),I353-H353,"")</f>
        <v/>
      </c>
      <c r="K353" s="31" t="str">
        <f aca="false">IF(AND(ISNUMBER(G353),ISNUMBER(I353)),I353-G353,"")</f>
        <v/>
      </c>
    </row>
    <row r="354" customFormat="false" ht="15" hidden="false" customHeight="false" outlineLevel="0" collapsed="false">
      <c r="J354" s="31" t="str">
        <f aca="false">IF(AND(ISNUMBER(H354),ISNUMBER(I354)),I354-H354,"")</f>
        <v/>
      </c>
      <c r="K354" s="31" t="str">
        <f aca="false">IF(AND(ISNUMBER(G354),ISNUMBER(I354)),I354-G354,"")</f>
        <v/>
      </c>
    </row>
    <row r="355" customFormat="false" ht="15" hidden="false" customHeight="false" outlineLevel="0" collapsed="false">
      <c r="J355" s="31" t="str">
        <f aca="false">IF(AND(ISNUMBER(H355),ISNUMBER(I355)),I355-H355,"")</f>
        <v/>
      </c>
      <c r="K355" s="31" t="str">
        <f aca="false">IF(AND(ISNUMBER(G355),ISNUMBER(I355)),I355-G355,"")</f>
        <v/>
      </c>
    </row>
    <row r="356" customFormat="false" ht="15" hidden="false" customHeight="false" outlineLevel="0" collapsed="false">
      <c r="J356" s="31" t="str">
        <f aca="false">IF(AND(ISNUMBER(H356),ISNUMBER(I356)),I356-H356,"")</f>
        <v/>
      </c>
      <c r="K356" s="31" t="str">
        <f aca="false">IF(AND(ISNUMBER(G356),ISNUMBER(I356)),I356-G356,"")</f>
        <v/>
      </c>
    </row>
    <row r="357" customFormat="false" ht="15" hidden="false" customHeight="false" outlineLevel="0" collapsed="false">
      <c r="J357" s="31" t="str">
        <f aca="false">IF(AND(ISNUMBER(H357),ISNUMBER(I357)),I357-H357,"")</f>
        <v/>
      </c>
      <c r="K357" s="31" t="str">
        <f aca="false">IF(AND(ISNUMBER(G357),ISNUMBER(I357)),I357-G357,"")</f>
        <v/>
      </c>
    </row>
    <row r="358" customFormat="false" ht="15" hidden="false" customHeight="false" outlineLevel="0" collapsed="false">
      <c r="J358" s="31" t="str">
        <f aca="false">IF(AND(ISNUMBER(H358),ISNUMBER(I358)),I358-H358,"")</f>
        <v/>
      </c>
      <c r="K358" s="31" t="str">
        <f aca="false">IF(AND(ISNUMBER(G358),ISNUMBER(I358)),I358-G358,"")</f>
        <v/>
      </c>
    </row>
    <row r="359" customFormat="false" ht="15" hidden="false" customHeight="false" outlineLevel="0" collapsed="false">
      <c r="J359" s="31" t="str">
        <f aca="false">IF(AND(ISNUMBER(H359),ISNUMBER(I359)),I359-H359,"")</f>
        <v/>
      </c>
      <c r="K359" s="31" t="str">
        <f aca="false">IF(AND(ISNUMBER(G359),ISNUMBER(I359)),I359-G359,"")</f>
        <v/>
      </c>
    </row>
    <row r="360" customFormat="false" ht="15" hidden="false" customHeight="false" outlineLevel="0" collapsed="false">
      <c r="J360" s="31" t="str">
        <f aca="false">IF(AND(ISNUMBER(H360),ISNUMBER(I360)),I360-H360,"")</f>
        <v/>
      </c>
      <c r="K360" s="31" t="str">
        <f aca="false">IF(AND(ISNUMBER(G360),ISNUMBER(I360)),I360-G360,"")</f>
        <v/>
      </c>
    </row>
    <row r="361" customFormat="false" ht="15" hidden="false" customHeight="false" outlineLevel="0" collapsed="false">
      <c r="J361" s="31" t="str">
        <f aca="false">IF(AND(ISNUMBER(H361),ISNUMBER(I361)),I361-H361,"")</f>
        <v/>
      </c>
      <c r="K361" s="31" t="str">
        <f aca="false">IF(AND(ISNUMBER(G361),ISNUMBER(I361)),I361-G361,"")</f>
        <v/>
      </c>
    </row>
    <row r="362" customFormat="false" ht="15" hidden="false" customHeight="false" outlineLevel="0" collapsed="false">
      <c r="J362" s="31" t="str">
        <f aca="false">IF(AND(ISNUMBER(H362),ISNUMBER(I362)),I362-H362,"")</f>
        <v/>
      </c>
      <c r="K362" s="31" t="str">
        <f aca="false">IF(AND(ISNUMBER(G362),ISNUMBER(I362)),I362-G362,"")</f>
        <v/>
      </c>
    </row>
    <row r="363" customFormat="false" ht="15" hidden="false" customHeight="false" outlineLevel="0" collapsed="false">
      <c r="J363" s="31" t="str">
        <f aca="false">IF(AND(ISNUMBER(H363),ISNUMBER(I363)),I363-H363,"")</f>
        <v/>
      </c>
      <c r="K363" s="31" t="str">
        <f aca="false">IF(AND(ISNUMBER(G363),ISNUMBER(I363)),I363-G363,"")</f>
        <v/>
      </c>
    </row>
    <row r="364" customFormat="false" ht="15" hidden="false" customHeight="false" outlineLevel="0" collapsed="false">
      <c r="J364" s="31" t="str">
        <f aca="false">IF(AND(ISNUMBER(H364),ISNUMBER(I364)),I364-H364,"")</f>
        <v/>
      </c>
      <c r="K364" s="31" t="str">
        <f aca="false">IF(AND(ISNUMBER(G364),ISNUMBER(I364)),I364-G364,"")</f>
        <v/>
      </c>
    </row>
    <row r="365" customFormat="false" ht="15" hidden="false" customHeight="false" outlineLevel="0" collapsed="false">
      <c r="J365" s="31" t="str">
        <f aca="false">IF(AND(ISNUMBER(H365),ISNUMBER(I365)),I365-H365,"")</f>
        <v/>
      </c>
      <c r="K365" s="31" t="str">
        <f aca="false">IF(AND(ISNUMBER(G365),ISNUMBER(I365)),I365-G365,"")</f>
        <v/>
      </c>
    </row>
    <row r="366" customFormat="false" ht="15" hidden="false" customHeight="false" outlineLevel="0" collapsed="false">
      <c r="J366" s="31" t="str">
        <f aca="false">IF(AND(ISNUMBER(H366),ISNUMBER(I366)),I366-H366,"")</f>
        <v/>
      </c>
      <c r="K366" s="31" t="str">
        <f aca="false">IF(AND(ISNUMBER(G366),ISNUMBER(I366)),I366-G366,"")</f>
        <v/>
      </c>
    </row>
    <row r="367" customFormat="false" ht="15" hidden="false" customHeight="false" outlineLevel="0" collapsed="false">
      <c r="J367" s="31" t="str">
        <f aca="false">IF(AND(ISNUMBER(H367),ISNUMBER(I367)),I367-H367,"")</f>
        <v/>
      </c>
      <c r="K367" s="31" t="str">
        <f aca="false">IF(AND(ISNUMBER(G367),ISNUMBER(I367)),I367-G367,"")</f>
        <v/>
      </c>
    </row>
    <row r="368" customFormat="false" ht="15" hidden="false" customHeight="false" outlineLevel="0" collapsed="false">
      <c r="J368" s="31" t="str">
        <f aca="false">IF(AND(ISNUMBER(H368),ISNUMBER(I368)),I368-H368,"")</f>
        <v/>
      </c>
      <c r="K368" s="31" t="str">
        <f aca="false">IF(AND(ISNUMBER(G368),ISNUMBER(I368)),I368-G368,"")</f>
        <v/>
      </c>
    </row>
    <row r="369" customFormat="false" ht="15" hidden="false" customHeight="false" outlineLevel="0" collapsed="false">
      <c r="J369" s="31" t="str">
        <f aca="false">IF(AND(ISNUMBER(H369),ISNUMBER(I369)),I369-H369,"")</f>
        <v/>
      </c>
      <c r="K369" s="31" t="str">
        <f aca="false">IF(AND(ISNUMBER(G369),ISNUMBER(I369)),I369-G369,"")</f>
        <v/>
      </c>
    </row>
    <row r="370" customFormat="false" ht="15" hidden="false" customHeight="false" outlineLevel="0" collapsed="false">
      <c r="J370" s="31" t="str">
        <f aca="false">IF(AND(ISNUMBER(H370),ISNUMBER(I370)),I370-H370,"")</f>
        <v/>
      </c>
      <c r="K370" s="31" t="str">
        <f aca="false">IF(AND(ISNUMBER(G370),ISNUMBER(I370)),I370-G370,"")</f>
        <v/>
      </c>
    </row>
    <row r="371" customFormat="false" ht="15" hidden="false" customHeight="false" outlineLevel="0" collapsed="false">
      <c r="J371" s="31" t="str">
        <f aca="false">IF(AND(ISNUMBER(H371),ISNUMBER(I371)),I371-H371,"")</f>
        <v/>
      </c>
      <c r="K371" s="31" t="str">
        <f aca="false">IF(AND(ISNUMBER(G371),ISNUMBER(I371)),I371-G371,"")</f>
        <v/>
      </c>
    </row>
    <row r="372" customFormat="false" ht="15" hidden="false" customHeight="false" outlineLevel="0" collapsed="false">
      <c r="J372" s="31" t="str">
        <f aca="false">IF(AND(ISNUMBER(H372),ISNUMBER(I372)),I372-H372,"")</f>
        <v/>
      </c>
      <c r="K372" s="31" t="str">
        <f aca="false">IF(AND(ISNUMBER(G372),ISNUMBER(I372)),I372-G372,"")</f>
        <v/>
      </c>
    </row>
    <row r="373" customFormat="false" ht="15" hidden="false" customHeight="false" outlineLevel="0" collapsed="false">
      <c r="J373" s="31" t="str">
        <f aca="false">IF(AND(ISNUMBER(H373),ISNUMBER(I373)),I373-H373,"")</f>
        <v/>
      </c>
      <c r="K373" s="31" t="str">
        <f aca="false">IF(AND(ISNUMBER(G373),ISNUMBER(I373)),I373-G373,"")</f>
        <v/>
      </c>
    </row>
    <row r="374" customFormat="false" ht="15" hidden="false" customHeight="false" outlineLevel="0" collapsed="false">
      <c r="J374" s="31" t="str">
        <f aca="false">IF(AND(ISNUMBER(H374),ISNUMBER(I374)),I374-H374,"")</f>
        <v/>
      </c>
      <c r="K374" s="31" t="str">
        <f aca="false">IF(AND(ISNUMBER(G374),ISNUMBER(I374)),I374-G374,"")</f>
        <v/>
      </c>
    </row>
    <row r="375" customFormat="false" ht="15" hidden="false" customHeight="false" outlineLevel="0" collapsed="false">
      <c r="J375" s="31" t="str">
        <f aca="false">IF(AND(ISNUMBER(H375),ISNUMBER(I375)),I375-H375,"")</f>
        <v/>
      </c>
      <c r="K375" s="31" t="str">
        <f aca="false">IF(AND(ISNUMBER(G375),ISNUMBER(I375)),I375-G375,"")</f>
        <v/>
      </c>
    </row>
    <row r="376" customFormat="false" ht="15" hidden="false" customHeight="false" outlineLevel="0" collapsed="false">
      <c r="J376" s="31" t="str">
        <f aca="false">IF(AND(ISNUMBER(H376),ISNUMBER(I376)),I376-H376,"")</f>
        <v/>
      </c>
      <c r="K376" s="31" t="str">
        <f aca="false">IF(AND(ISNUMBER(G376),ISNUMBER(I376)),I376-G376,"")</f>
        <v/>
      </c>
    </row>
    <row r="377" customFormat="false" ht="15" hidden="false" customHeight="false" outlineLevel="0" collapsed="false">
      <c r="J377" s="31" t="str">
        <f aca="false">IF(AND(ISNUMBER(H377),ISNUMBER(I377)),I377-H377,"")</f>
        <v/>
      </c>
      <c r="K377" s="31" t="str">
        <f aca="false">IF(AND(ISNUMBER(G377),ISNUMBER(I377)),I377-G377,"")</f>
        <v/>
      </c>
    </row>
    <row r="378" customFormat="false" ht="15" hidden="false" customHeight="false" outlineLevel="0" collapsed="false">
      <c r="J378" s="31" t="str">
        <f aca="false">IF(AND(ISNUMBER(H378),ISNUMBER(I378)),I378-H378,"")</f>
        <v/>
      </c>
      <c r="K378" s="31" t="str">
        <f aca="false">IF(AND(ISNUMBER(G378),ISNUMBER(I378)),I378-G378,"")</f>
        <v/>
      </c>
    </row>
    <row r="379" customFormat="false" ht="15" hidden="false" customHeight="false" outlineLevel="0" collapsed="false">
      <c r="J379" s="31" t="str">
        <f aca="false">IF(AND(ISNUMBER(H379),ISNUMBER(I379)),I379-H379,"")</f>
        <v/>
      </c>
      <c r="K379" s="31" t="str">
        <f aca="false">IF(AND(ISNUMBER(G379),ISNUMBER(I379)),I379-G379,"")</f>
        <v/>
      </c>
    </row>
    <row r="380" customFormat="false" ht="15" hidden="false" customHeight="false" outlineLevel="0" collapsed="false">
      <c r="J380" s="31" t="str">
        <f aca="false">IF(AND(ISNUMBER(H380),ISNUMBER(I380)),I380-H380,"")</f>
        <v/>
      </c>
      <c r="K380" s="31" t="str">
        <f aca="false">IF(AND(ISNUMBER(G380),ISNUMBER(I380)),I380-G380,"")</f>
        <v/>
      </c>
    </row>
    <row r="381" customFormat="false" ht="15" hidden="false" customHeight="false" outlineLevel="0" collapsed="false">
      <c r="J381" s="31" t="str">
        <f aca="false">IF(AND(ISNUMBER(H381),ISNUMBER(I381)),I381-H381,"")</f>
        <v/>
      </c>
      <c r="K381" s="31" t="str">
        <f aca="false">IF(AND(ISNUMBER(G381),ISNUMBER(I381)),I381-G381,"")</f>
        <v/>
      </c>
    </row>
    <row r="382" customFormat="false" ht="15" hidden="false" customHeight="false" outlineLevel="0" collapsed="false">
      <c r="J382" s="31" t="str">
        <f aca="false">IF(AND(ISNUMBER(H382),ISNUMBER(I382)),I382-H382,"")</f>
        <v/>
      </c>
      <c r="K382" s="31" t="str">
        <f aca="false">IF(AND(ISNUMBER(G382),ISNUMBER(I382)),I382-G382,"")</f>
        <v/>
      </c>
    </row>
    <row r="383" customFormat="false" ht="15" hidden="false" customHeight="false" outlineLevel="0" collapsed="false">
      <c r="J383" s="31" t="str">
        <f aca="false">IF(AND(ISNUMBER(H383),ISNUMBER(I383)),I383-H383,"")</f>
        <v/>
      </c>
      <c r="K383" s="31" t="str">
        <f aca="false">IF(AND(ISNUMBER(G383),ISNUMBER(I383)),I383-G383,"")</f>
        <v/>
      </c>
    </row>
    <row r="384" customFormat="false" ht="15" hidden="false" customHeight="false" outlineLevel="0" collapsed="false">
      <c r="J384" s="31" t="str">
        <f aca="false">IF(AND(ISNUMBER(H384),ISNUMBER(I384)),I384-H384,"")</f>
        <v/>
      </c>
      <c r="K384" s="31" t="str">
        <f aca="false">IF(AND(ISNUMBER(G384),ISNUMBER(I384)),I384-G384,"")</f>
        <v/>
      </c>
    </row>
    <row r="385" customFormat="false" ht="15" hidden="false" customHeight="false" outlineLevel="0" collapsed="false">
      <c r="J385" s="31" t="str">
        <f aca="false">IF(AND(ISNUMBER(H385),ISNUMBER(I385)),I385-H385,"")</f>
        <v/>
      </c>
      <c r="K385" s="31" t="str">
        <f aca="false">IF(AND(ISNUMBER(G385),ISNUMBER(I385)),I385-G385,"")</f>
        <v/>
      </c>
    </row>
    <row r="386" customFormat="false" ht="15" hidden="false" customHeight="false" outlineLevel="0" collapsed="false">
      <c r="J386" s="31" t="str">
        <f aca="false">IF(AND(ISNUMBER(H386),ISNUMBER(I386)),I386-H386,"")</f>
        <v/>
      </c>
      <c r="K386" s="31" t="str">
        <f aca="false">IF(AND(ISNUMBER(G386),ISNUMBER(I386)),I386-G386,"")</f>
        <v/>
      </c>
    </row>
    <row r="387" customFormat="false" ht="15" hidden="false" customHeight="false" outlineLevel="0" collapsed="false">
      <c r="J387" s="31" t="str">
        <f aca="false">IF(AND(ISNUMBER(H387),ISNUMBER(I387)),I387-H387,"")</f>
        <v/>
      </c>
      <c r="K387" s="31" t="str">
        <f aca="false">IF(AND(ISNUMBER(G387),ISNUMBER(I387)),I387-G387,"")</f>
        <v/>
      </c>
    </row>
    <row r="388" customFormat="false" ht="15" hidden="false" customHeight="false" outlineLevel="0" collapsed="false">
      <c r="J388" s="31" t="str">
        <f aca="false">IF(AND(ISNUMBER(H388),ISNUMBER(I388)),I388-H388,"")</f>
        <v/>
      </c>
      <c r="K388" s="31" t="str">
        <f aca="false">IF(AND(ISNUMBER(G388),ISNUMBER(I388)),I388-G388,"")</f>
        <v/>
      </c>
    </row>
    <row r="389" customFormat="false" ht="15" hidden="false" customHeight="false" outlineLevel="0" collapsed="false">
      <c r="J389" s="31" t="str">
        <f aca="false">IF(AND(ISNUMBER(H389),ISNUMBER(I389)),I389-H389,"")</f>
        <v/>
      </c>
      <c r="K389" s="31" t="str">
        <f aca="false">IF(AND(ISNUMBER(G389),ISNUMBER(I389)),I389-G389,"")</f>
        <v/>
      </c>
    </row>
    <row r="390" customFormat="false" ht="15" hidden="false" customHeight="false" outlineLevel="0" collapsed="false">
      <c r="J390" s="31" t="str">
        <f aca="false">IF(AND(ISNUMBER(H390),ISNUMBER(I390)),I390-H390,"")</f>
        <v/>
      </c>
      <c r="K390" s="31" t="str">
        <f aca="false">IF(AND(ISNUMBER(G390),ISNUMBER(I390)),I390-G390,"")</f>
        <v/>
      </c>
    </row>
    <row r="391" customFormat="false" ht="15" hidden="false" customHeight="false" outlineLevel="0" collapsed="false">
      <c r="J391" s="31" t="str">
        <f aca="false">IF(AND(ISNUMBER(H391),ISNUMBER(I391)),I391-H391,"")</f>
        <v/>
      </c>
      <c r="K391" s="31" t="str">
        <f aca="false">IF(AND(ISNUMBER(G391),ISNUMBER(I391)),I391-G391,"")</f>
        <v/>
      </c>
    </row>
    <row r="392" customFormat="false" ht="15" hidden="false" customHeight="false" outlineLevel="0" collapsed="false">
      <c r="J392" s="31" t="str">
        <f aca="false">IF(AND(ISNUMBER(H392),ISNUMBER(I392)),I392-H392,"")</f>
        <v/>
      </c>
      <c r="K392" s="31" t="str">
        <f aca="false">IF(AND(ISNUMBER(G392),ISNUMBER(I392)),I392-G392,"")</f>
        <v/>
      </c>
    </row>
    <row r="393" customFormat="false" ht="15" hidden="false" customHeight="false" outlineLevel="0" collapsed="false">
      <c r="J393" s="31" t="str">
        <f aca="false">IF(AND(ISNUMBER(H393),ISNUMBER(I393)),I393-H393,"")</f>
        <v/>
      </c>
      <c r="K393" s="31" t="str">
        <f aca="false">IF(AND(ISNUMBER(G393),ISNUMBER(I393)),I393-G393,"")</f>
        <v/>
      </c>
    </row>
    <row r="394" customFormat="false" ht="15" hidden="false" customHeight="false" outlineLevel="0" collapsed="false">
      <c r="J394" s="31" t="str">
        <f aca="false">IF(AND(ISNUMBER(H394),ISNUMBER(I394)),I394-H394,"")</f>
        <v/>
      </c>
      <c r="K394" s="31" t="str">
        <f aca="false">IF(AND(ISNUMBER(G394),ISNUMBER(I394)),I394-G394,"")</f>
        <v/>
      </c>
    </row>
    <row r="395" customFormat="false" ht="15" hidden="false" customHeight="false" outlineLevel="0" collapsed="false">
      <c r="J395" s="31" t="str">
        <f aca="false">IF(AND(ISNUMBER(H395),ISNUMBER(I395)),I395-H395,"")</f>
        <v/>
      </c>
      <c r="K395" s="31" t="str">
        <f aca="false">IF(AND(ISNUMBER(G395),ISNUMBER(I395)),I395-G395,"")</f>
        <v/>
      </c>
    </row>
    <row r="396" customFormat="false" ht="15" hidden="false" customHeight="false" outlineLevel="0" collapsed="false">
      <c r="J396" s="31" t="str">
        <f aca="false">IF(AND(ISNUMBER(H396),ISNUMBER(I396)),I396-H396,"")</f>
        <v/>
      </c>
      <c r="K396" s="31" t="str">
        <f aca="false">IF(AND(ISNUMBER(G396),ISNUMBER(I396)),I396-G396,"")</f>
        <v/>
      </c>
    </row>
    <row r="397" customFormat="false" ht="15" hidden="false" customHeight="false" outlineLevel="0" collapsed="false">
      <c r="J397" s="31" t="str">
        <f aca="false">IF(AND(ISNUMBER(H397),ISNUMBER(I397)),I397-H397,"")</f>
        <v/>
      </c>
      <c r="K397" s="31" t="str">
        <f aca="false">IF(AND(ISNUMBER(G397),ISNUMBER(I397)),I397-G397,"")</f>
        <v/>
      </c>
    </row>
    <row r="398" customFormat="false" ht="15" hidden="false" customHeight="false" outlineLevel="0" collapsed="false">
      <c r="J398" s="31" t="str">
        <f aca="false">IF(AND(ISNUMBER(H398),ISNUMBER(I398)),I398-H398,"")</f>
        <v/>
      </c>
      <c r="K398" s="31" t="str">
        <f aca="false">IF(AND(ISNUMBER(G398),ISNUMBER(I398)),I398-G398,"")</f>
        <v/>
      </c>
    </row>
    <row r="399" customFormat="false" ht="15" hidden="false" customHeight="false" outlineLevel="0" collapsed="false">
      <c r="J399" s="31" t="str">
        <f aca="false">IF(AND(ISNUMBER(H399),ISNUMBER(I399)),I399-H399,"")</f>
        <v/>
      </c>
      <c r="K399" s="31" t="str">
        <f aca="false">IF(AND(ISNUMBER(G399),ISNUMBER(I399)),I399-G399,"")</f>
        <v/>
      </c>
    </row>
    <row r="400" customFormat="false" ht="15" hidden="false" customHeight="false" outlineLevel="0" collapsed="false">
      <c r="J400" s="31" t="str">
        <f aca="false">IF(AND(ISNUMBER(H400),ISNUMBER(I400)),I400-H400,"")</f>
        <v/>
      </c>
      <c r="K400" s="31" t="str">
        <f aca="false">IF(AND(ISNUMBER(G400),ISNUMBER(I400)),I400-G400,"")</f>
        <v/>
      </c>
    </row>
    <row r="401" customFormat="false" ht="15" hidden="false" customHeight="false" outlineLevel="0" collapsed="false">
      <c r="J401" s="31" t="str">
        <f aca="false">IF(AND(ISNUMBER(H401),ISNUMBER(I401)),I401-H401,"")</f>
        <v/>
      </c>
      <c r="K401" s="31" t="str">
        <f aca="false">IF(AND(ISNUMBER(G401),ISNUMBER(I401)),I401-G401,"")</f>
        <v/>
      </c>
    </row>
    <row r="402" customFormat="false" ht="15" hidden="false" customHeight="false" outlineLevel="0" collapsed="false">
      <c r="J402" s="31" t="str">
        <f aca="false">IF(AND(ISNUMBER(H402),ISNUMBER(I402)),I402-H402,"")</f>
        <v/>
      </c>
      <c r="K402" s="31" t="str">
        <f aca="false">IF(AND(ISNUMBER(G402),ISNUMBER(I402)),I402-G402,"")</f>
        <v/>
      </c>
    </row>
    <row r="403" customFormat="false" ht="15" hidden="false" customHeight="false" outlineLevel="0" collapsed="false">
      <c r="J403" s="31" t="str">
        <f aca="false">IF(AND(ISNUMBER(H403),ISNUMBER(I403)),I403-H403,"")</f>
        <v/>
      </c>
      <c r="K403" s="31" t="str">
        <f aca="false">IF(AND(ISNUMBER(G403),ISNUMBER(I403)),I403-G403,"")</f>
        <v/>
      </c>
    </row>
    <row r="404" customFormat="false" ht="15" hidden="false" customHeight="false" outlineLevel="0" collapsed="false">
      <c r="J404" s="31" t="str">
        <f aca="false">IF(AND(ISNUMBER(H404),ISNUMBER(I404)),I404-H404,"")</f>
        <v/>
      </c>
      <c r="K404" s="31" t="str">
        <f aca="false">IF(AND(ISNUMBER(G404),ISNUMBER(I404)),I404-G404,"")</f>
        <v/>
      </c>
    </row>
    <row r="405" customFormat="false" ht="15" hidden="false" customHeight="false" outlineLevel="0" collapsed="false">
      <c r="J405" s="31" t="str">
        <f aca="false">IF(AND(ISNUMBER(H405),ISNUMBER(I405)),I405-H405,"")</f>
        <v/>
      </c>
      <c r="K405" s="31" t="str">
        <f aca="false">IF(AND(ISNUMBER(G405),ISNUMBER(I405)),I405-G405,"")</f>
        <v/>
      </c>
    </row>
    <row r="406" customFormat="false" ht="15" hidden="false" customHeight="false" outlineLevel="0" collapsed="false">
      <c r="J406" s="31" t="str">
        <f aca="false">IF(AND(ISNUMBER(H406),ISNUMBER(I406)),I406-H406,"")</f>
        <v/>
      </c>
      <c r="K406" s="31" t="str">
        <f aca="false">IF(AND(ISNUMBER(G406),ISNUMBER(I406)),I406-G406,"")</f>
        <v/>
      </c>
    </row>
    <row r="407" customFormat="false" ht="15" hidden="false" customHeight="false" outlineLevel="0" collapsed="false">
      <c r="J407" s="31" t="str">
        <f aca="false">IF(AND(ISNUMBER(H407),ISNUMBER(I407)),I407-H407,"")</f>
        <v/>
      </c>
      <c r="K407" s="31" t="str">
        <f aca="false">IF(AND(ISNUMBER(G407),ISNUMBER(I407)),I407-G407,"")</f>
        <v/>
      </c>
    </row>
    <row r="408" customFormat="false" ht="15" hidden="false" customHeight="false" outlineLevel="0" collapsed="false">
      <c r="J408" s="31" t="str">
        <f aca="false">IF(AND(ISNUMBER(H408),ISNUMBER(I408)),I408-H408,"")</f>
        <v/>
      </c>
      <c r="K408" s="31" t="str">
        <f aca="false">IF(AND(ISNUMBER(G408),ISNUMBER(I408)),I408-G408,"")</f>
        <v/>
      </c>
    </row>
    <row r="409" customFormat="false" ht="15" hidden="false" customHeight="false" outlineLevel="0" collapsed="false">
      <c r="J409" s="31" t="str">
        <f aca="false">IF(AND(ISNUMBER(H409),ISNUMBER(I409)),I409-H409,"")</f>
        <v/>
      </c>
      <c r="K409" s="31" t="str">
        <f aca="false">IF(AND(ISNUMBER(G409),ISNUMBER(I409)),I409-G409,"")</f>
        <v/>
      </c>
    </row>
    <row r="410" customFormat="false" ht="15" hidden="false" customHeight="false" outlineLevel="0" collapsed="false">
      <c r="J410" s="31" t="str">
        <f aca="false">IF(AND(ISNUMBER(H410),ISNUMBER(I410)),I410-H410,"")</f>
        <v/>
      </c>
      <c r="K410" s="31" t="str">
        <f aca="false">IF(AND(ISNUMBER(G410),ISNUMBER(I410)),I410-G410,"")</f>
        <v/>
      </c>
    </row>
    <row r="411" customFormat="false" ht="15" hidden="false" customHeight="false" outlineLevel="0" collapsed="false">
      <c r="J411" s="31" t="str">
        <f aca="false">IF(AND(ISNUMBER(H411),ISNUMBER(I411)),I411-H411,"")</f>
        <v/>
      </c>
      <c r="K411" s="31" t="str">
        <f aca="false">IF(AND(ISNUMBER(G411),ISNUMBER(I411)),I411-G411,"")</f>
        <v/>
      </c>
    </row>
    <row r="412" customFormat="false" ht="15" hidden="false" customHeight="false" outlineLevel="0" collapsed="false">
      <c r="J412" s="31" t="str">
        <f aca="false">IF(AND(ISNUMBER(H412),ISNUMBER(I412)),I412-H412,"")</f>
        <v/>
      </c>
      <c r="K412" s="31" t="str">
        <f aca="false">IF(AND(ISNUMBER(G412),ISNUMBER(I412)),I412-G412,"")</f>
        <v/>
      </c>
    </row>
    <row r="413" customFormat="false" ht="15" hidden="false" customHeight="false" outlineLevel="0" collapsed="false">
      <c r="J413" s="31" t="str">
        <f aca="false">IF(AND(ISNUMBER(H413),ISNUMBER(I413)),I413-H413,"")</f>
        <v/>
      </c>
      <c r="K413" s="31" t="str">
        <f aca="false">IF(AND(ISNUMBER(G413),ISNUMBER(I413)),I413-G413,"")</f>
        <v/>
      </c>
    </row>
    <row r="414" customFormat="false" ht="15" hidden="false" customHeight="false" outlineLevel="0" collapsed="false">
      <c r="J414" s="31" t="str">
        <f aca="false">IF(AND(ISNUMBER(H414),ISNUMBER(I414)),I414-H414,"")</f>
        <v/>
      </c>
      <c r="K414" s="31" t="str">
        <f aca="false">IF(AND(ISNUMBER(G414),ISNUMBER(I414)),I414-G414,"")</f>
        <v/>
      </c>
    </row>
    <row r="415" customFormat="false" ht="15" hidden="false" customHeight="false" outlineLevel="0" collapsed="false">
      <c r="J415" s="31" t="str">
        <f aca="false">IF(AND(ISNUMBER(H415),ISNUMBER(I415)),I415-H415,"")</f>
        <v/>
      </c>
      <c r="K415" s="31" t="str">
        <f aca="false">IF(AND(ISNUMBER(G415),ISNUMBER(I415)),I415-G415,"")</f>
        <v/>
      </c>
    </row>
    <row r="416" customFormat="false" ht="15" hidden="false" customHeight="false" outlineLevel="0" collapsed="false">
      <c r="J416" s="31" t="str">
        <f aca="false">IF(AND(ISNUMBER(H416),ISNUMBER(I416)),I416-H416,"")</f>
        <v/>
      </c>
      <c r="K416" s="31" t="str">
        <f aca="false">IF(AND(ISNUMBER(G416),ISNUMBER(I416)),I416-G416,"")</f>
        <v/>
      </c>
    </row>
    <row r="417" customFormat="false" ht="15" hidden="false" customHeight="false" outlineLevel="0" collapsed="false">
      <c r="J417" s="31" t="str">
        <f aca="false">IF(AND(ISNUMBER(H417),ISNUMBER(I417)),I417-H417,"")</f>
        <v/>
      </c>
      <c r="K417" s="31" t="str">
        <f aca="false">IF(AND(ISNUMBER(G417),ISNUMBER(I417)),I417-G417,"")</f>
        <v/>
      </c>
    </row>
    <row r="418" customFormat="false" ht="15" hidden="false" customHeight="false" outlineLevel="0" collapsed="false">
      <c r="J418" s="31" t="str">
        <f aca="false">IF(AND(ISNUMBER(H418),ISNUMBER(I418)),I418-H418,"")</f>
        <v/>
      </c>
      <c r="K418" s="31" t="str">
        <f aca="false">IF(AND(ISNUMBER(G418),ISNUMBER(I418)),I418-G418,"")</f>
        <v/>
      </c>
    </row>
    <row r="419" customFormat="false" ht="15" hidden="false" customHeight="false" outlineLevel="0" collapsed="false">
      <c r="J419" s="31" t="str">
        <f aca="false">IF(AND(ISNUMBER(H419),ISNUMBER(I419)),I419-H419,"")</f>
        <v/>
      </c>
      <c r="K419" s="31" t="str">
        <f aca="false">IF(AND(ISNUMBER(G419),ISNUMBER(I419)),I419-G419,"")</f>
        <v/>
      </c>
    </row>
    <row r="420" customFormat="false" ht="15" hidden="false" customHeight="false" outlineLevel="0" collapsed="false">
      <c r="J420" s="31" t="str">
        <f aca="false">IF(AND(ISNUMBER(H420),ISNUMBER(I420)),I420-H420,"")</f>
        <v/>
      </c>
      <c r="K420" s="31" t="str">
        <f aca="false">IF(AND(ISNUMBER(G420),ISNUMBER(I420)),I420-G420,"")</f>
        <v/>
      </c>
    </row>
    <row r="421" customFormat="false" ht="15" hidden="false" customHeight="false" outlineLevel="0" collapsed="false">
      <c r="J421" s="31" t="str">
        <f aca="false">IF(AND(ISNUMBER(H421),ISNUMBER(I421)),I421-H421,"")</f>
        <v/>
      </c>
      <c r="K421" s="31" t="str">
        <f aca="false">IF(AND(ISNUMBER(G421),ISNUMBER(I421)),I421-G421,"")</f>
        <v/>
      </c>
    </row>
    <row r="422" customFormat="false" ht="15" hidden="false" customHeight="false" outlineLevel="0" collapsed="false">
      <c r="J422" s="31" t="str">
        <f aca="false">IF(AND(ISNUMBER(H422),ISNUMBER(I422)),I422-H422,"")</f>
        <v/>
      </c>
      <c r="K422" s="31" t="str">
        <f aca="false">IF(AND(ISNUMBER(G422),ISNUMBER(I422)),I422-G422,"")</f>
        <v/>
      </c>
    </row>
    <row r="423" customFormat="false" ht="15" hidden="false" customHeight="false" outlineLevel="0" collapsed="false">
      <c r="J423" s="31" t="str">
        <f aca="false">IF(AND(ISNUMBER(H423),ISNUMBER(I423)),I423-H423,"")</f>
        <v/>
      </c>
      <c r="K423" s="31" t="str">
        <f aca="false">IF(AND(ISNUMBER(G423),ISNUMBER(I423)),I423-G423,"")</f>
        <v/>
      </c>
    </row>
    <row r="424" customFormat="false" ht="15" hidden="false" customHeight="false" outlineLevel="0" collapsed="false">
      <c r="J424" s="31" t="str">
        <f aca="false">IF(AND(ISNUMBER(H424),ISNUMBER(I424)),I424-H424,"")</f>
        <v/>
      </c>
      <c r="K424" s="31" t="str">
        <f aca="false">IF(AND(ISNUMBER(G424),ISNUMBER(I424)),I424-G424,"")</f>
        <v/>
      </c>
    </row>
    <row r="425" customFormat="false" ht="15" hidden="false" customHeight="false" outlineLevel="0" collapsed="false">
      <c r="J425" s="31" t="str">
        <f aca="false">IF(AND(ISNUMBER(H425),ISNUMBER(I425)),I425-H425,"")</f>
        <v/>
      </c>
      <c r="K425" s="31" t="str">
        <f aca="false">IF(AND(ISNUMBER(G425),ISNUMBER(I425)),I425-G425,"")</f>
        <v/>
      </c>
    </row>
    <row r="426" customFormat="false" ht="15" hidden="false" customHeight="false" outlineLevel="0" collapsed="false">
      <c r="J426" s="31" t="str">
        <f aca="false">IF(AND(ISNUMBER(H426),ISNUMBER(I426)),I426-H426,"")</f>
        <v/>
      </c>
      <c r="K426" s="31" t="str">
        <f aca="false">IF(AND(ISNUMBER(G426),ISNUMBER(I426)),I426-G426,"")</f>
        <v/>
      </c>
    </row>
    <row r="427" customFormat="false" ht="15" hidden="false" customHeight="false" outlineLevel="0" collapsed="false">
      <c r="J427" s="31" t="str">
        <f aca="false">IF(AND(ISNUMBER(H427),ISNUMBER(I427)),I427-H427,"")</f>
        <v/>
      </c>
      <c r="K427" s="31" t="str">
        <f aca="false">IF(AND(ISNUMBER(G427),ISNUMBER(I427)),I427-G427,"")</f>
        <v/>
      </c>
    </row>
    <row r="428" customFormat="false" ht="15" hidden="false" customHeight="false" outlineLevel="0" collapsed="false">
      <c r="J428" s="31" t="str">
        <f aca="false">IF(AND(ISNUMBER(H428),ISNUMBER(I428)),I428-H428,"")</f>
        <v/>
      </c>
      <c r="K428" s="31" t="str">
        <f aca="false">IF(AND(ISNUMBER(G428),ISNUMBER(I428)),I428-G428,"")</f>
        <v/>
      </c>
    </row>
    <row r="429" customFormat="false" ht="15" hidden="false" customHeight="false" outlineLevel="0" collapsed="false">
      <c r="J429" s="31" t="str">
        <f aca="false">IF(AND(ISNUMBER(H429),ISNUMBER(I429)),I429-H429,"")</f>
        <v/>
      </c>
      <c r="K429" s="31" t="str">
        <f aca="false">IF(AND(ISNUMBER(G429),ISNUMBER(I429)),I429-G429,"")</f>
        <v/>
      </c>
    </row>
    <row r="430" customFormat="false" ht="15" hidden="false" customHeight="false" outlineLevel="0" collapsed="false">
      <c r="J430" s="31" t="str">
        <f aca="false">IF(AND(ISNUMBER(H430),ISNUMBER(I430)),I430-H430,"")</f>
        <v/>
      </c>
      <c r="K430" s="31" t="str">
        <f aca="false">IF(AND(ISNUMBER(G430),ISNUMBER(I430)),I430-G430,"")</f>
        <v/>
      </c>
    </row>
    <row r="431" customFormat="false" ht="15" hidden="false" customHeight="false" outlineLevel="0" collapsed="false">
      <c r="J431" s="31" t="str">
        <f aca="false">IF(AND(ISNUMBER(H431),ISNUMBER(I431)),I431-H431,"")</f>
        <v/>
      </c>
      <c r="K431" s="31" t="str">
        <f aca="false">IF(AND(ISNUMBER(G431),ISNUMBER(I431)),I431-G431,"")</f>
        <v/>
      </c>
    </row>
    <row r="432" customFormat="false" ht="15" hidden="false" customHeight="false" outlineLevel="0" collapsed="false">
      <c r="J432" s="31" t="str">
        <f aca="false">IF(AND(ISNUMBER(H432),ISNUMBER(I432)),I432-H432,"")</f>
        <v/>
      </c>
      <c r="K432" s="31" t="str">
        <f aca="false">IF(AND(ISNUMBER(G432),ISNUMBER(I432)),I432-G432,"")</f>
        <v/>
      </c>
    </row>
    <row r="433" customFormat="false" ht="15" hidden="false" customHeight="false" outlineLevel="0" collapsed="false">
      <c r="J433" s="31" t="str">
        <f aca="false">IF(AND(ISNUMBER(H433),ISNUMBER(I433)),I433-H433,"")</f>
        <v/>
      </c>
      <c r="K433" s="31" t="str">
        <f aca="false">IF(AND(ISNUMBER(G433),ISNUMBER(I433)),I433-G433,"")</f>
        <v/>
      </c>
    </row>
    <row r="434" customFormat="false" ht="15" hidden="false" customHeight="false" outlineLevel="0" collapsed="false">
      <c r="J434" s="31" t="str">
        <f aca="false">IF(AND(ISNUMBER(H434),ISNUMBER(I434)),I434-H434,"")</f>
        <v/>
      </c>
      <c r="K434" s="31" t="str">
        <f aca="false">IF(AND(ISNUMBER(G434),ISNUMBER(I434)),I434-G434,"")</f>
        <v/>
      </c>
    </row>
    <row r="435" customFormat="false" ht="15" hidden="false" customHeight="false" outlineLevel="0" collapsed="false">
      <c r="J435" s="31" t="str">
        <f aca="false">IF(AND(ISNUMBER(H435),ISNUMBER(I435)),I435-H435,"")</f>
        <v/>
      </c>
      <c r="K435" s="31" t="str">
        <f aca="false">IF(AND(ISNUMBER(G435),ISNUMBER(I435)),I435-G435,"")</f>
        <v/>
      </c>
    </row>
    <row r="436" customFormat="false" ht="15" hidden="false" customHeight="false" outlineLevel="0" collapsed="false">
      <c r="J436" s="31" t="str">
        <f aca="false">IF(AND(ISNUMBER(H436),ISNUMBER(I436)),I436-H436,"")</f>
        <v/>
      </c>
      <c r="K436" s="31" t="str">
        <f aca="false">IF(AND(ISNUMBER(G436),ISNUMBER(I436)),I436-G436,"")</f>
        <v/>
      </c>
    </row>
    <row r="437" customFormat="false" ht="15" hidden="false" customHeight="false" outlineLevel="0" collapsed="false">
      <c r="J437" s="31" t="str">
        <f aca="false">IF(AND(ISNUMBER(H437),ISNUMBER(I437)),I437-H437,"")</f>
        <v/>
      </c>
      <c r="K437" s="31" t="str">
        <f aca="false">IF(AND(ISNUMBER(G437),ISNUMBER(I437)),I437-G437,"")</f>
        <v/>
      </c>
    </row>
    <row r="438" customFormat="false" ht="15" hidden="false" customHeight="false" outlineLevel="0" collapsed="false">
      <c r="J438" s="31" t="str">
        <f aca="false">IF(AND(ISNUMBER(H438),ISNUMBER(I438)),I438-H438,"")</f>
        <v/>
      </c>
      <c r="K438" s="31" t="str">
        <f aca="false">IF(AND(ISNUMBER(G438),ISNUMBER(I438)),I438-G438,"")</f>
        <v/>
      </c>
    </row>
    <row r="439" customFormat="false" ht="15" hidden="false" customHeight="false" outlineLevel="0" collapsed="false">
      <c r="J439" s="31" t="str">
        <f aca="false">IF(AND(ISNUMBER(H439),ISNUMBER(I439)),I439-H439,"")</f>
        <v/>
      </c>
      <c r="K439" s="31" t="str">
        <f aca="false">IF(AND(ISNUMBER(G439),ISNUMBER(I439)),I439-G439,"")</f>
        <v/>
      </c>
    </row>
    <row r="440" customFormat="false" ht="15" hidden="false" customHeight="false" outlineLevel="0" collapsed="false">
      <c r="J440" s="31" t="str">
        <f aca="false">IF(AND(ISNUMBER(H440),ISNUMBER(I440)),I440-H440,"")</f>
        <v/>
      </c>
      <c r="K440" s="31" t="str">
        <f aca="false">IF(AND(ISNUMBER(G440),ISNUMBER(I440)),I440-G440,"")</f>
        <v/>
      </c>
    </row>
    <row r="441" customFormat="false" ht="15" hidden="false" customHeight="false" outlineLevel="0" collapsed="false">
      <c r="J441" s="31" t="str">
        <f aca="false">IF(AND(ISNUMBER(H441),ISNUMBER(I441)),I441-H441,"")</f>
        <v/>
      </c>
      <c r="K441" s="31" t="str">
        <f aca="false">IF(AND(ISNUMBER(G441),ISNUMBER(I441)),I441-G441,"")</f>
        <v/>
      </c>
    </row>
    <row r="442" customFormat="false" ht="15" hidden="false" customHeight="false" outlineLevel="0" collapsed="false">
      <c r="J442" s="31" t="str">
        <f aca="false">IF(AND(ISNUMBER(H442),ISNUMBER(I442)),I442-H442,"")</f>
        <v/>
      </c>
      <c r="K442" s="31" t="str">
        <f aca="false">IF(AND(ISNUMBER(G442),ISNUMBER(I442)),I442-G442,"")</f>
        <v/>
      </c>
    </row>
    <row r="443" customFormat="false" ht="15" hidden="false" customHeight="false" outlineLevel="0" collapsed="false">
      <c r="J443" s="31" t="str">
        <f aca="false">IF(AND(ISNUMBER(H443),ISNUMBER(I443)),I443-H443,"")</f>
        <v/>
      </c>
      <c r="K443" s="31" t="str">
        <f aca="false">IF(AND(ISNUMBER(G443),ISNUMBER(I443)),I443-G443,"")</f>
        <v/>
      </c>
    </row>
    <row r="444" customFormat="false" ht="15" hidden="false" customHeight="false" outlineLevel="0" collapsed="false">
      <c r="J444" s="31" t="str">
        <f aca="false">IF(AND(ISNUMBER(H444),ISNUMBER(I444)),I444-H444,"")</f>
        <v/>
      </c>
      <c r="K444" s="31" t="str">
        <f aca="false">IF(AND(ISNUMBER(G444),ISNUMBER(I444)),I444-G444,"")</f>
        <v/>
      </c>
    </row>
    <row r="445" customFormat="false" ht="15" hidden="false" customHeight="false" outlineLevel="0" collapsed="false">
      <c r="J445" s="31" t="str">
        <f aca="false">IF(AND(ISNUMBER(H445),ISNUMBER(I445)),I445-H445,"")</f>
        <v/>
      </c>
      <c r="K445" s="31" t="str">
        <f aca="false">IF(AND(ISNUMBER(G445),ISNUMBER(I445)),I445-G445,"")</f>
        <v/>
      </c>
    </row>
    <row r="446" customFormat="false" ht="15" hidden="false" customHeight="false" outlineLevel="0" collapsed="false">
      <c r="J446" s="31" t="str">
        <f aca="false">IF(AND(ISNUMBER(H446),ISNUMBER(I446)),I446-H446,"")</f>
        <v/>
      </c>
      <c r="K446" s="31" t="str">
        <f aca="false">IF(AND(ISNUMBER(G446),ISNUMBER(I446)),I446-G446,"")</f>
        <v/>
      </c>
    </row>
    <row r="447" customFormat="false" ht="15" hidden="false" customHeight="false" outlineLevel="0" collapsed="false">
      <c r="J447" s="31" t="str">
        <f aca="false">IF(AND(ISNUMBER(H447),ISNUMBER(I447)),I447-H447,"")</f>
        <v/>
      </c>
      <c r="K447" s="31" t="str">
        <f aca="false">IF(AND(ISNUMBER(G447),ISNUMBER(I447)),I447-G447,"")</f>
        <v/>
      </c>
    </row>
    <row r="448" customFormat="false" ht="15" hidden="false" customHeight="false" outlineLevel="0" collapsed="false">
      <c r="J448" s="31" t="str">
        <f aca="false">IF(AND(ISNUMBER(H448),ISNUMBER(I448)),I448-H448,"")</f>
        <v/>
      </c>
      <c r="K448" s="31" t="str">
        <f aca="false">IF(AND(ISNUMBER(G448),ISNUMBER(I448)),I448-G448,"")</f>
        <v/>
      </c>
    </row>
    <row r="449" customFormat="false" ht="15" hidden="false" customHeight="false" outlineLevel="0" collapsed="false">
      <c r="J449" s="31" t="str">
        <f aca="false">IF(AND(ISNUMBER(H449),ISNUMBER(I449)),I449-H449,"")</f>
        <v/>
      </c>
      <c r="K449" s="31" t="str">
        <f aca="false">IF(AND(ISNUMBER(G449),ISNUMBER(I449)),I449-G449,"")</f>
        <v/>
      </c>
    </row>
    <row r="450" customFormat="false" ht="15" hidden="false" customHeight="false" outlineLevel="0" collapsed="false">
      <c r="J450" s="31" t="str">
        <f aca="false">IF(AND(ISNUMBER(H450),ISNUMBER(I450)),I450-H450,"")</f>
        <v/>
      </c>
      <c r="K450" s="31" t="str">
        <f aca="false">IF(AND(ISNUMBER(G450),ISNUMBER(I450)),I450-G450,"")</f>
        <v/>
      </c>
    </row>
    <row r="451" customFormat="false" ht="15" hidden="false" customHeight="false" outlineLevel="0" collapsed="false">
      <c r="J451" s="31" t="str">
        <f aca="false">IF(AND(ISNUMBER(H451),ISNUMBER(I451)),I451-H451,"")</f>
        <v/>
      </c>
      <c r="K451" s="31" t="str">
        <f aca="false">IF(AND(ISNUMBER(G451),ISNUMBER(I451)),I451-G451,"")</f>
        <v/>
      </c>
    </row>
    <row r="452" customFormat="false" ht="15" hidden="false" customHeight="false" outlineLevel="0" collapsed="false">
      <c r="J452" s="31" t="str">
        <f aca="false">IF(AND(ISNUMBER(H452),ISNUMBER(I452)),I452-H452,"")</f>
        <v/>
      </c>
      <c r="K452" s="31" t="str">
        <f aca="false">IF(AND(ISNUMBER(G452),ISNUMBER(I452)),I452-G452,"")</f>
        <v/>
      </c>
    </row>
    <row r="453" customFormat="false" ht="15" hidden="false" customHeight="false" outlineLevel="0" collapsed="false">
      <c r="J453" s="31" t="str">
        <f aca="false">IF(AND(ISNUMBER(H453),ISNUMBER(I453)),I453-H453,"")</f>
        <v/>
      </c>
      <c r="K453" s="31" t="str">
        <f aca="false">IF(AND(ISNUMBER(G453),ISNUMBER(I453)),I453-G453,"")</f>
        <v/>
      </c>
    </row>
    <row r="454" customFormat="false" ht="15" hidden="false" customHeight="false" outlineLevel="0" collapsed="false">
      <c r="J454" s="31" t="str">
        <f aca="false">IF(AND(ISNUMBER(H454),ISNUMBER(I454)),I454-H454,"")</f>
        <v/>
      </c>
      <c r="K454" s="31" t="str">
        <f aca="false">IF(AND(ISNUMBER(G454),ISNUMBER(I454)),I454-G454,"")</f>
        <v/>
      </c>
    </row>
    <row r="455" customFormat="false" ht="15" hidden="false" customHeight="false" outlineLevel="0" collapsed="false">
      <c r="J455" s="31" t="str">
        <f aca="false">IF(AND(ISNUMBER(H455),ISNUMBER(I455)),I455-H455,"")</f>
        <v/>
      </c>
      <c r="K455" s="31" t="str">
        <f aca="false">IF(AND(ISNUMBER(G455),ISNUMBER(I455)),I455-G455,"")</f>
        <v/>
      </c>
    </row>
    <row r="456" customFormat="false" ht="15" hidden="false" customHeight="false" outlineLevel="0" collapsed="false">
      <c r="J456" s="31" t="str">
        <f aca="false">IF(AND(ISNUMBER(H456),ISNUMBER(I456)),I456-H456,"")</f>
        <v/>
      </c>
      <c r="K456" s="31" t="str">
        <f aca="false">IF(AND(ISNUMBER(G456),ISNUMBER(I456)),I456-G456,"")</f>
        <v/>
      </c>
    </row>
    <row r="457" customFormat="false" ht="15" hidden="false" customHeight="false" outlineLevel="0" collapsed="false">
      <c r="J457" s="31" t="str">
        <f aca="false">IF(AND(ISNUMBER(H457),ISNUMBER(I457)),I457-H457,"")</f>
        <v/>
      </c>
      <c r="K457" s="31" t="str">
        <f aca="false">IF(AND(ISNUMBER(G457),ISNUMBER(I457)),I457-G457,"")</f>
        <v/>
      </c>
    </row>
    <row r="458" customFormat="false" ht="15" hidden="false" customHeight="false" outlineLevel="0" collapsed="false">
      <c r="J458" s="31" t="str">
        <f aca="false">IF(AND(ISNUMBER(H458),ISNUMBER(I458)),I458-H458,"")</f>
        <v/>
      </c>
      <c r="K458" s="31" t="str">
        <f aca="false">IF(AND(ISNUMBER(G458),ISNUMBER(I458)),I458-G458,"")</f>
        <v/>
      </c>
    </row>
    <row r="459" customFormat="false" ht="15" hidden="false" customHeight="false" outlineLevel="0" collapsed="false">
      <c r="J459" s="31" t="str">
        <f aca="false">IF(AND(ISNUMBER(H459),ISNUMBER(I459)),I459-H459,"")</f>
        <v/>
      </c>
      <c r="K459" s="31" t="str">
        <f aca="false">IF(AND(ISNUMBER(G459),ISNUMBER(I459)),I459-G459,"")</f>
        <v/>
      </c>
    </row>
    <row r="460" customFormat="false" ht="15" hidden="false" customHeight="false" outlineLevel="0" collapsed="false">
      <c r="J460" s="31" t="str">
        <f aca="false">IF(AND(ISNUMBER(H460),ISNUMBER(I460)),I460-H460,"")</f>
        <v/>
      </c>
      <c r="K460" s="31" t="str">
        <f aca="false">IF(AND(ISNUMBER(G460),ISNUMBER(I460)),I460-G460,"")</f>
        <v/>
      </c>
    </row>
    <row r="461" customFormat="false" ht="15" hidden="false" customHeight="false" outlineLevel="0" collapsed="false">
      <c r="J461" s="31" t="str">
        <f aca="false">IF(AND(ISNUMBER(H461),ISNUMBER(I461)),I461-H461,"")</f>
        <v/>
      </c>
      <c r="K461" s="31" t="str">
        <f aca="false">IF(AND(ISNUMBER(G461),ISNUMBER(I461)),I461-G461,"")</f>
        <v/>
      </c>
    </row>
    <row r="462" customFormat="false" ht="15" hidden="false" customHeight="false" outlineLevel="0" collapsed="false">
      <c r="J462" s="31" t="str">
        <f aca="false">IF(AND(ISNUMBER(H462),ISNUMBER(I462)),I462-H462,"")</f>
        <v/>
      </c>
      <c r="K462" s="31" t="str">
        <f aca="false">IF(AND(ISNUMBER(G462),ISNUMBER(I462)),I462-G462,"")</f>
        <v/>
      </c>
    </row>
    <row r="463" customFormat="false" ht="15" hidden="false" customHeight="false" outlineLevel="0" collapsed="false">
      <c r="J463" s="31" t="str">
        <f aca="false">IF(AND(ISNUMBER(H463),ISNUMBER(I463)),I463-H463,"")</f>
        <v/>
      </c>
      <c r="K463" s="31" t="str">
        <f aca="false">IF(AND(ISNUMBER(G463),ISNUMBER(I463)),I463-G463,"")</f>
        <v/>
      </c>
    </row>
    <row r="464" customFormat="false" ht="15" hidden="false" customHeight="false" outlineLevel="0" collapsed="false">
      <c r="J464" s="31" t="str">
        <f aca="false">IF(AND(ISNUMBER(H464),ISNUMBER(I464)),I464-H464,"")</f>
        <v/>
      </c>
      <c r="K464" s="31" t="str">
        <f aca="false">IF(AND(ISNUMBER(G464),ISNUMBER(I464)),I464-G464,"")</f>
        <v/>
      </c>
    </row>
    <row r="465" customFormat="false" ht="15" hidden="false" customHeight="false" outlineLevel="0" collapsed="false">
      <c r="J465" s="31" t="str">
        <f aca="false">IF(AND(ISNUMBER(H465),ISNUMBER(I465)),I465-H465,"")</f>
        <v/>
      </c>
      <c r="K465" s="31" t="str">
        <f aca="false">IF(AND(ISNUMBER(G465),ISNUMBER(I465)),I465-G465,"")</f>
        <v/>
      </c>
    </row>
    <row r="466" customFormat="false" ht="15" hidden="false" customHeight="false" outlineLevel="0" collapsed="false">
      <c r="J466" s="31" t="str">
        <f aca="false">IF(AND(ISNUMBER(H466),ISNUMBER(I466)),I466-H466,"")</f>
        <v/>
      </c>
      <c r="K466" s="31" t="str">
        <f aca="false">IF(AND(ISNUMBER(G466),ISNUMBER(I466)),I466-G466,"")</f>
        <v/>
      </c>
    </row>
    <row r="467" customFormat="false" ht="15" hidden="false" customHeight="false" outlineLevel="0" collapsed="false">
      <c r="J467" s="31" t="str">
        <f aca="false">IF(AND(ISNUMBER(H467),ISNUMBER(I467)),I467-H467,"")</f>
        <v/>
      </c>
      <c r="K467" s="31" t="str">
        <f aca="false">IF(AND(ISNUMBER(G467),ISNUMBER(I467)),I467-G467,"")</f>
        <v/>
      </c>
    </row>
    <row r="468" customFormat="false" ht="15" hidden="false" customHeight="false" outlineLevel="0" collapsed="false">
      <c r="J468" s="31" t="str">
        <f aca="false">IF(AND(ISNUMBER(H468),ISNUMBER(I468)),I468-H468,"")</f>
        <v/>
      </c>
      <c r="K468" s="31" t="str">
        <f aca="false">IF(AND(ISNUMBER(G468),ISNUMBER(I468)),I468-G468,"")</f>
        <v/>
      </c>
    </row>
    <row r="469" customFormat="false" ht="15" hidden="false" customHeight="false" outlineLevel="0" collapsed="false">
      <c r="J469" s="31" t="str">
        <f aca="false">IF(AND(ISNUMBER(H469),ISNUMBER(I469)),I469-H469,"")</f>
        <v/>
      </c>
      <c r="K469" s="31" t="str">
        <f aca="false">IF(AND(ISNUMBER(G469),ISNUMBER(I469)),I469-G469,"")</f>
        <v/>
      </c>
    </row>
    <row r="470" customFormat="false" ht="15" hidden="false" customHeight="false" outlineLevel="0" collapsed="false">
      <c r="J470" s="31" t="str">
        <f aca="false">IF(AND(ISNUMBER(H470),ISNUMBER(I470)),I470-H470,"")</f>
        <v/>
      </c>
      <c r="K470" s="31" t="str">
        <f aca="false">IF(AND(ISNUMBER(G470),ISNUMBER(I470)),I470-G470,"")</f>
        <v/>
      </c>
    </row>
    <row r="471" customFormat="false" ht="15" hidden="false" customHeight="false" outlineLevel="0" collapsed="false">
      <c r="J471" s="31" t="str">
        <f aca="false">IF(AND(ISNUMBER(H471),ISNUMBER(I471)),I471-H471,"")</f>
        <v/>
      </c>
      <c r="K471" s="31" t="str">
        <f aca="false">IF(AND(ISNUMBER(G471),ISNUMBER(I471)),I471-G471,"")</f>
        <v/>
      </c>
    </row>
    <row r="472" customFormat="false" ht="15" hidden="false" customHeight="false" outlineLevel="0" collapsed="false">
      <c r="J472" s="31" t="str">
        <f aca="false">IF(AND(ISNUMBER(H472),ISNUMBER(I472)),I472-H472,"")</f>
        <v/>
      </c>
      <c r="K472" s="31" t="str">
        <f aca="false">IF(AND(ISNUMBER(G472),ISNUMBER(I472)),I472-G472,"")</f>
        <v/>
      </c>
    </row>
    <row r="473" customFormat="false" ht="15" hidden="false" customHeight="false" outlineLevel="0" collapsed="false">
      <c r="J473" s="31" t="str">
        <f aca="false">IF(AND(ISNUMBER(H473),ISNUMBER(I473)),I473-H473,"")</f>
        <v/>
      </c>
      <c r="K473" s="31" t="str">
        <f aca="false">IF(AND(ISNUMBER(G473),ISNUMBER(I473)),I473-G473,"")</f>
        <v/>
      </c>
    </row>
    <row r="474" customFormat="false" ht="15" hidden="false" customHeight="false" outlineLevel="0" collapsed="false">
      <c r="J474" s="31" t="str">
        <f aca="false">IF(AND(ISNUMBER(H474),ISNUMBER(I474)),I474-H474,"")</f>
        <v/>
      </c>
      <c r="K474" s="31" t="str">
        <f aca="false">IF(AND(ISNUMBER(G474),ISNUMBER(I474)),I474-G474,"")</f>
        <v/>
      </c>
    </row>
    <row r="475" customFormat="false" ht="15" hidden="false" customHeight="false" outlineLevel="0" collapsed="false">
      <c r="J475" s="31" t="str">
        <f aca="false">IF(AND(ISNUMBER(H475),ISNUMBER(I475)),I475-H475,"")</f>
        <v/>
      </c>
      <c r="K475" s="31" t="str">
        <f aca="false">IF(AND(ISNUMBER(G475),ISNUMBER(I475)),I475-G475,"")</f>
        <v/>
      </c>
    </row>
    <row r="476" customFormat="false" ht="15" hidden="false" customHeight="false" outlineLevel="0" collapsed="false">
      <c r="J476" s="31" t="str">
        <f aca="false">IF(AND(ISNUMBER(H476),ISNUMBER(I476)),I476-H476,"")</f>
        <v/>
      </c>
      <c r="K476" s="31" t="str">
        <f aca="false">IF(AND(ISNUMBER(G476),ISNUMBER(I476)),I476-G476,"")</f>
        <v/>
      </c>
    </row>
    <row r="477" customFormat="false" ht="15" hidden="false" customHeight="false" outlineLevel="0" collapsed="false">
      <c r="J477" s="31" t="str">
        <f aca="false">IF(AND(ISNUMBER(H477),ISNUMBER(I477)),I477-H477,"")</f>
        <v/>
      </c>
      <c r="K477" s="31" t="str">
        <f aca="false">IF(AND(ISNUMBER(G477),ISNUMBER(I477)),I477-G477,"")</f>
        <v/>
      </c>
    </row>
    <row r="478" customFormat="false" ht="15" hidden="false" customHeight="false" outlineLevel="0" collapsed="false">
      <c r="J478" s="31" t="str">
        <f aca="false">IF(AND(ISNUMBER(H478),ISNUMBER(I478)),I478-H478,"")</f>
        <v/>
      </c>
      <c r="K478" s="31" t="str">
        <f aca="false">IF(AND(ISNUMBER(G478),ISNUMBER(I478)),I478-G478,"")</f>
        <v/>
      </c>
    </row>
    <row r="479" customFormat="false" ht="15" hidden="false" customHeight="false" outlineLevel="0" collapsed="false">
      <c r="J479" s="31" t="str">
        <f aca="false">IF(AND(ISNUMBER(H479),ISNUMBER(I479)),I479-H479,"")</f>
        <v/>
      </c>
      <c r="K479" s="31" t="str">
        <f aca="false">IF(AND(ISNUMBER(G479),ISNUMBER(I479)),I479-G479,"")</f>
        <v/>
      </c>
    </row>
    <row r="480" customFormat="false" ht="15" hidden="false" customHeight="false" outlineLevel="0" collapsed="false">
      <c r="J480" s="31" t="str">
        <f aca="false">IF(AND(ISNUMBER(H480),ISNUMBER(I480)),I480-H480,"")</f>
        <v/>
      </c>
      <c r="K480" s="31" t="str">
        <f aca="false">IF(AND(ISNUMBER(G480),ISNUMBER(I480)),I480-G480,"")</f>
        <v/>
      </c>
    </row>
    <row r="481" customFormat="false" ht="15" hidden="false" customHeight="false" outlineLevel="0" collapsed="false">
      <c r="J481" s="31" t="str">
        <f aca="false">IF(AND(ISNUMBER(H481),ISNUMBER(I481)),I481-H481,"")</f>
        <v/>
      </c>
      <c r="K481" s="31" t="str">
        <f aca="false">IF(AND(ISNUMBER(G481),ISNUMBER(I481)),I481-G481,"")</f>
        <v/>
      </c>
    </row>
    <row r="482" customFormat="false" ht="15" hidden="false" customHeight="false" outlineLevel="0" collapsed="false">
      <c r="J482" s="31" t="str">
        <f aca="false">IF(AND(ISNUMBER(H482),ISNUMBER(I482)),I482-H482,"")</f>
        <v/>
      </c>
      <c r="K482" s="31" t="str">
        <f aca="false">IF(AND(ISNUMBER(G482),ISNUMBER(I482)),I482-G482,"")</f>
        <v/>
      </c>
    </row>
    <row r="483" customFormat="false" ht="15" hidden="false" customHeight="false" outlineLevel="0" collapsed="false">
      <c r="J483" s="31" t="str">
        <f aca="false">IF(AND(ISNUMBER(H483),ISNUMBER(I483)),I483-H483,"")</f>
        <v/>
      </c>
      <c r="K483" s="31" t="str">
        <f aca="false">IF(AND(ISNUMBER(G483),ISNUMBER(I483)),I483-G483,"")</f>
        <v/>
      </c>
    </row>
    <row r="484" customFormat="false" ht="15" hidden="false" customHeight="false" outlineLevel="0" collapsed="false">
      <c r="J484" s="31" t="str">
        <f aca="false">IF(AND(ISNUMBER(H484),ISNUMBER(I484)),I484-H484,"")</f>
        <v/>
      </c>
      <c r="K484" s="31" t="str">
        <f aca="false">IF(AND(ISNUMBER(G484),ISNUMBER(I484)),I484-G484,"")</f>
        <v/>
      </c>
    </row>
    <row r="485" customFormat="false" ht="15" hidden="false" customHeight="false" outlineLevel="0" collapsed="false">
      <c r="J485" s="31" t="str">
        <f aca="false">IF(AND(ISNUMBER(H485),ISNUMBER(I485)),I485-H485,"")</f>
        <v/>
      </c>
      <c r="K485" s="31" t="str">
        <f aca="false">IF(AND(ISNUMBER(G485),ISNUMBER(I485)),I485-G485,"")</f>
        <v/>
      </c>
    </row>
    <row r="486" customFormat="false" ht="15" hidden="false" customHeight="false" outlineLevel="0" collapsed="false">
      <c r="J486" s="31" t="str">
        <f aca="false">IF(AND(ISNUMBER(H486),ISNUMBER(I486)),I486-H486,"")</f>
        <v/>
      </c>
      <c r="K486" s="31" t="str">
        <f aca="false">IF(AND(ISNUMBER(G486),ISNUMBER(I486)),I486-G486,"")</f>
        <v/>
      </c>
    </row>
    <row r="487" customFormat="false" ht="15" hidden="false" customHeight="false" outlineLevel="0" collapsed="false">
      <c r="J487" s="31" t="str">
        <f aca="false">IF(AND(ISNUMBER(H487),ISNUMBER(I487)),I487-H487,"")</f>
        <v/>
      </c>
      <c r="K487" s="31" t="str">
        <f aca="false">IF(AND(ISNUMBER(G487),ISNUMBER(I487)),I487-G487,"")</f>
        <v/>
      </c>
    </row>
    <row r="488" customFormat="false" ht="15" hidden="false" customHeight="false" outlineLevel="0" collapsed="false">
      <c r="J488" s="31" t="str">
        <f aca="false">IF(AND(ISNUMBER(H488),ISNUMBER(I488)),I488-H488,"")</f>
        <v/>
      </c>
      <c r="K488" s="31" t="str">
        <f aca="false">IF(AND(ISNUMBER(G488),ISNUMBER(I488)),I488-G488,"")</f>
        <v/>
      </c>
    </row>
    <row r="489" customFormat="false" ht="15" hidden="false" customHeight="false" outlineLevel="0" collapsed="false">
      <c r="J489" s="31" t="str">
        <f aca="false">IF(AND(ISNUMBER(H489),ISNUMBER(I489)),I489-H489,"")</f>
        <v/>
      </c>
      <c r="K489" s="31" t="str">
        <f aca="false">IF(AND(ISNUMBER(G489),ISNUMBER(I489)),I489-G489,"")</f>
        <v/>
      </c>
    </row>
    <row r="490" customFormat="false" ht="15" hidden="false" customHeight="false" outlineLevel="0" collapsed="false">
      <c r="J490" s="31" t="str">
        <f aca="false">IF(AND(ISNUMBER(H490),ISNUMBER(I490)),I490-H490,"")</f>
        <v/>
      </c>
      <c r="K490" s="31" t="str">
        <f aca="false">IF(AND(ISNUMBER(G490),ISNUMBER(I490)),I490-G490,"")</f>
        <v/>
      </c>
    </row>
    <row r="491" customFormat="false" ht="15" hidden="false" customHeight="false" outlineLevel="0" collapsed="false">
      <c r="J491" s="31" t="str">
        <f aca="false">IF(AND(ISNUMBER(H491),ISNUMBER(I491)),I491-H491,"")</f>
        <v/>
      </c>
      <c r="K491" s="31" t="str">
        <f aca="false">IF(AND(ISNUMBER(G491),ISNUMBER(I491)),I491-G491,"")</f>
        <v/>
      </c>
    </row>
    <row r="492" customFormat="false" ht="15" hidden="false" customHeight="false" outlineLevel="0" collapsed="false">
      <c r="J492" s="31" t="str">
        <f aca="false">IF(AND(ISNUMBER(H492),ISNUMBER(I492)),I492-H492,"")</f>
        <v/>
      </c>
      <c r="K492" s="31" t="str">
        <f aca="false">IF(AND(ISNUMBER(G492),ISNUMBER(I492)),I492-G492,"")</f>
        <v/>
      </c>
    </row>
    <row r="493" customFormat="false" ht="15" hidden="false" customHeight="false" outlineLevel="0" collapsed="false">
      <c r="J493" s="31" t="str">
        <f aca="false">IF(AND(ISNUMBER(H493),ISNUMBER(I493)),I493-H493,"")</f>
        <v/>
      </c>
      <c r="K493" s="31" t="str">
        <f aca="false">IF(AND(ISNUMBER(G493),ISNUMBER(I493)),I493-G493,"")</f>
        <v/>
      </c>
    </row>
    <row r="494" customFormat="false" ht="15" hidden="false" customHeight="false" outlineLevel="0" collapsed="false">
      <c r="J494" s="31" t="str">
        <f aca="false">IF(AND(ISNUMBER(H494),ISNUMBER(I494)),I494-H494,"")</f>
        <v/>
      </c>
      <c r="K494" s="31" t="str">
        <f aca="false">IF(AND(ISNUMBER(G494),ISNUMBER(I494)),I494-G494,"")</f>
        <v/>
      </c>
    </row>
    <row r="495" customFormat="false" ht="15" hidden="false" customHeight="false" outlineLevel="0" collapsed="false">
      <c r="J495" s="31" t="str">
        <f aca="false">IF(AND(ISNUMBER(H495),ISNUMBER(I495)),I495-H495,"")</f>
        <v/>
      </c>
      <c r="K495" s="31" t="str">
        <f aca="false">IF(AND(ISNUMBER(G495),ISNUMBER(I495)),I495-G495,"")</f>
        <v/>
      </c>
    </row>
    <row r="496" customFormat="false" ht="15" hidden="false" customHeight="false" outlineLevel="0" collapsed="false">
      <c r="J496" s="31" t="str">
        <f aca="false">IF(AND(ISNUMBER(H496),ISNUMBER(I496)),I496-H496,"")</f>
        <v/>
      </c>
      <c r="K496" s="31" t="str">
        <f aca="false">IF(AND(ISNUMBER(G496),ISNUMBER(I496)),I496-G496,"")</f>
        <v/>
      </c>
    </row>
    <row r="497" customFormat="false" ht="15" hidden="false" customHeight="false" outlineLevel="0" collapsed="false">
      <c r="J497" s="31" t="str">
        <f aca="false">IF(AND(ISNUMBER(H497),ISNUMBER(I497)),I497-H497,"")</f>
        <v/>
      </c>
      <c r="K497" s="31" t="str">
        <f aca="false">IF(AND(ISNUMBER(G497),ISNUMBER(I497)),I497-G497,"")</f>
        <v/>
      </c>
    </row>
    <row r="498" customFormat="false" ht="15" hidden="false" customHeight="false" outlineLevel="0" collapsed="false">
      <c r="J498" s="31" t="str">
        <f aca="false">IF(AND(ISNUMBER(H498),ISNUMBER(I498)),I498-H498,"")</f>
        <v/>
      </c>
      <c r="K498" s="31" t="str">
        <f aca="false">IF(AND(ISNUMBER(G498),ISNUMBER(I498)),I498-G498,"")</f>
        <v/>
      </c>
    </row>
    <row r="499" customFormat="false" ht="15" hidden="false" customHeight="false" outlineLevel="0" collapsed="false">
      <c r="J499" s="31" t="str">
        <f aca="false">IF(AND(ISNUMBER(H499),ISNUMBER(I499)),I499-H499,"")</f>
        <v/>
      </c>
      <c r="K499" s="31" t="str">
        <f aca="false">IF(AND(ISNUMBER(G499),ISNUMBER(I499)),I499-G499,"")</f>
        <v/>
      </c>
    </row>
    <row r="500" customFormat="false" ht="15" hidden="false" customHeight="false" outlineLevel="0" collapsed="false">
      <c r="J500" s="31" t="str">
        <f aca="false">IF(AND(ISNUMBER(H500),ISNUMBER(I500)),I500-H500,"")</f>
        <v/>
      </c>
      <c r="K500" s="31" t="str">
        <f aca="false">IF(AND(ISNUMBER(G500),ISNUMBER(I500)),I500-G500,"")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2026-10-05T15:32:54Z</dcterms:created>
  <dc:creator>openpyxl</dc:creator>
  <dc:description/>
  <dc:language>en-US</dc:language>
  <cp:lastModifiedBy/>
  <dcterms:modified xsi:type="dcterms:W3CDTF">2026-10-05T15:32:57Z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